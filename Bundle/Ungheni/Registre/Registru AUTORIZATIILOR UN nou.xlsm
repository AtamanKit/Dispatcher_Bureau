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d-Nord\Registre_disc_t\Registru AL\"/>
    </mc:Choice>
  </mc:AlternateContent>
  <xr:revisionPtr revIDLastSave="0" documentId="13_ncr:1_{8A8E4817-CDE1-47EB-A75D-45E85398B8D6}" xr6:coauthVersionLast="45" xr6:coauthVersionMax="45" xr10:uidLastSave="{00000000-0000-0000-0000-000000000000}"/>
  <bookViews>
    <workbookView xWindow="-120" yWindow="-120" windowWidth="29040" windowHeight="15840" xr2:uid="{068ACF8C-25B5-4C7B-93C2-2EED5D57219B}"/>
  </bookViews>
  <sheets>
    <sheet name="Registru" sheetId="1" r:id="rId1"/>
    <sheet name="Data" sheetId="5" r:id="rId2"/>
    <sheet name="UNGHENI" sheetId="7" r:id="rId3"/>
  </sheets>
  <definedNames>
    <definedName name="_xlnm._FilterDatabase" localSheetId="1" hidden="1">Data!$F$1:$F$1</definedName>
    <definedName name="_xlnm._FilterDatabase" localSheetId="0" hidden="1">Registru!#REF!</definedName>
    <definedName name="_xlnm._FilterDatabase" localSheetId="2" hidden="1">UNGHENI!$A$4:$R$491</definedName>
    <definedName name="_xlnm.Database">#REF!</definedName>
    <definedName name="Z_2438136E_4A57_418C_B2F6_E302085B87AB_.wvu.FilterData" localSheetId="2" hidden="1">UNGHENI!$A$4:$R$491</definedName>
    <definedName name="Z_4420AEB5_E4D5_4385_B815_0229CD525B77_.wvu.FilterData" localSheetId="2" hidden="1">UNGHENI!$A$4:$R$491</definedName>
    <definedName name="Z_C3C21C15_1158_43E7_A1D2_B7751A89B642_.wvu.FilterData" localSheetId="2" hidden="1">UNGHENI!$A$4:$R$491</definedName>
    <definedName name="Z_F5069F54_1CDD_468E_89EF_E7B343ECFEB1_.wvu.FilterData" localSheetId="2" hidden="1">UNGHENI!$A$4:$R$491</definedName>
    <definedName name="Z_FA765BAA_F437_4C08_8911_C50FD88B0095_.wvu.FilterData" localSheetId="2" hidden="1">UNGHENI!$A$4:$R$491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667" i="7" l="1"/>
  <c r="V667" i="7" s="1"/>
  <c r="T667" i="7"/>
  <c r="S667" i="7"/>
  <c r="V666" i="7"/>
  <c r="U666" i="7"/>
  <c r="S666" i="7"/>
  <c r="T666" i="7" s="1"/>
  <c r="V665" i="7"/>
  <c r="U665" i="7"/>
  <c r="T665" i="7"/>
  <c r="S665" i="7"/>
  <c r="V664" i="7"/>
  <c r="U664" i="7"/>
  <c r="T664" i="7"/>
  <c r="S664" i="7"/>
  <c r="V663" i="7"/>
  <c r="U663" i="7"/>
  <c r="S663" i="7"/>
  <c r="T663" i="7" s="1"/>
  <c r="V662" i="7"/>
  <c r="U662" i="7"/>
  <c r="T662" i="7"/>
  <c r="S662" i="7"/>
  <c r="U661" i="7"/>
  <c r="V661" i="7" s="1"/>
  <c r="T661" i="7"/>
  <c r="S661" i="7"/>
  <c r="V660" i="7"/>
  <c r="U660" i="7"/>
  <c r="S660" i="7"/>
  <c r="T660" i="7" s="1"/>
  <c r="T659" i="7"/>
  <c r="S659" i="7"/>
  <c r="T658" i="7"/>
  <c r="S658" i="7"/>
  <c r="S657" i="7"/>
  <c r="T657" i="7" s="1"/>
  <c r="T656" i="7"/>
  <c r="S656" i="7"/>
  <c r="V655" i="7"/>
  <c r="U655" i="7"/>
  <c r="S655" i="7"/>
  <c r="T655" i="7" s="1"/>
  <c r="T654" i="7"/>
  <c r="S654" i="7"/>
  <c r="T653" i="7"/>
  <c r="S653" i="7"/>
  <c r="U652" i="7"/>
  <c r="V652" i="7" s="1"/>
  <c r="T652" i="7"/>
  <c r="S652" i="7"/>
  <c r="T651" i="7"/>
  <c r="S651" i="7"/>
  <c r="U650" i="7"/>
  <c r="V650" i="7" s="1"/>
  <c r="T650" i="7"/>
  <c r="S650" i="7"/>
  <c r="T649" i="7"/>
  <c r="S649" i="7"/>
  <c r="U648" i="7"/>
  <c r="V648" i="7" s="1"/>
  <c r="T648" i="7"/>
  <c r="S648" i="7"/>
  <c r="V647" i="7"/>
  <c r="U647" i="7"/>
  <c r="S647" i="7"/>
  <c r="T647" i="7" s="1"/>
  <c r="V646" i="7"/>
  <c r="U646" i="7"/>
  <c r="T646" i="7"/>
  <c r="S646" i="7"/>
  <c r="T645" i="7"/>
  <c r="S645" i="7"/>
  <c r="V644" i="7"/>
  <c r="U644" i="7"/>
  <c r="T644" i="7"/>
  <c r="S644" i="7"/>
  <c r="U643" i="7"/>
  <c r="V643" i="7" s="1"/>
  <c r="T643" i="7"/>
  <c r="S643" i="7"/>
  <c r="V642" i="7"/>
  <c r="U642" i="7"/>
  <c r="T642" i="7"/>
  <c r="S642" i="7"/>
  <c r="V641" i="7"/>
  <c r="U641" i="7"/>
  <c r="T641" i="7"/>
  <c r="S641" i="7"/>
  <c r="U640" i="7"/>
  <c r="V640" i="7" s="1"/>
  <c r="T640" i="7"/>
  <c r="S640" i="7"/>
  <c r="T639" i="7"/>
  <c r="S639" i="7"/>
  <c r="S638" i="7"/>
  <c r="T638" i="7" s="1"/>
  <c r="T637" i="7"/>
  <c r="S637" i="7"/>
  <c r="V636" i="7"/>
  <c r="U636" i="7"/>
  <c r="S636" i="7"/>
  <c r="T636" i="7" s="1"/>
  <c r="V635" i="7"/>
  <c r="U635" i="7"/>
  <c r="T635" i="7"/>
  <c r="S635" i="7"/>
  <c r="U634" i="7"/>
  <c r="V634" i="7" s="1"/>
  <c r="T634" i="7"/>
  <c r="S634" i="7"/>
  <c r="V633" i="7"/>
  <c r="U633" i="7"/>
  <c r="S633" i="7"/>
  <c r="T633" i="7" s="1"/>
  <c r="V632" i="7"/>
  <c r="U632" i="7"/>
  <c r="T632" i="7"/>
  <c r="S632" i="7"/>
  <c r="V631" i="7"/>
  <c r="U631" i="7"/>
  <c r="T631" i="7"/>
  <c r="S631" i="7"/>
  <c r="V630" i="7"/>
  <c r="U630" i="7"/>
  <c r="S630" i="7"/>
  <c r="T630" i="7" s="1"/>
  <c r="V629" i="7"/>
  <c r="U629" i="7"/>
  <c r="T629" i="7"/>
  <c r="S629" i="7"/>
  <c r="U628" i="7"/>
  <c r="V628" i="7" s="1"/>
  <c r="T628" i="7"/>
  <c r="S628" i="7"/>
  <c r="V627" i="7"/>
  <c r="U627" i="7"/>
  <c r="S627" i="7"/>
  <c r="T627" i="7" s="1"/>
  <c r="T626" i="7"/>
  <c r="S626" i="7"/>
  <c r="T625" i="7"/>
  <c r="S625" i="7"/>
  <c r="S624" i="7"/>
  <c r="T624" i="7" s="1"/>
  <c r="T623" i="7"/>
  <c r="S623" i="7"/>
  <c r="T622" i="7"/>
  <c r="S622" i="7"/>
  <c r="S621" i="7"/>
  <c r="T621" i="7" s="1"/>
  <c r="V620" i="7"/>
  <c r="U620" i="7"/>
  <c r="T620" i="7"/>
  <c r="S620" i="7"/>
  <c r="V619" i="7"/>
  <c r="U619" i="7"/>
  <c r="T619" i="7"/>
  <c r="S619" i="7"/>
  <c r="T618" i="7"/>
  <c r="S618" i="7"/>
  <c r="S617" i="7"/>
  <c r="T617" i="7" s="1"/>
  <c r="T616" i="7"/>
  <c r="S616" i="7"/>
  <c r="V615" i="7"/>
  <c r="U615" i="7"/>
  <c r="S615" i="7"/>
  <c r="T615" i="7" s="1"/>
  <c r="T614" i="7"/>
  <c r="S614" i="7"/>
  <c r="T613" i="7"/>
  <c r="S613" i="7"/>
  <c r="S612" i="7"/>
  <c r="T612" i="7" s="1"/>
  <c r="T611" i="7"/>
  <c r="S611" i="7"/>
  <c r="T610" i="7"/>
  <c r="S610" i="7"/>
  <c r="S609" i="7"/>
  <c r="T609" i="7" s="1"/>
  <c r="T608" i="7"/>
  <c r="S608" i="7"/>
  <c r="T607" i="7"/>
  <c r="S607" i="7"/>
  <c r="U606" i="7"/>
  <c r="V606" i="7" s="1"/>
  <c r="T606" i="7"/>
  <c r="S606" i="7"/>
  <c r="T605" i="7"/>
  <c r="S605" i="7"/>
  <c r="V604" i="7"/>
  <c r="U604" i="7"/>
  <c r="T604" i="7"/>
  <c r="S604" i="7"/>
  <c r="V603" i="7"/>
  <c r="U603" i="7"/>
  <c r="S603" i="7"/>
  <c r="T603" i="7" s="1"/>
  <c r="V602" i="7"/>
  <c r="U602" i="7"/>
  <c r="T602" i="7"/>
  <c r="S602" i="7"/>
  <c r="U601" i="7"/>
  <c r="V601" i="7" s="1"/>
  <c r="T601" i="7"/>
  <c r="S601" i="7"/>
  <c r="T600" i="7"/>
  <c r="S600" i="7"/>
  <c r="S599" i="7"/>
  <c r="T599" i="7" s="1"/>
  <c r="T598" i="7"/>
  <c r="S598" i="7"/>
  <c r="V597" i="7"/>
  <c r="U597" i="7"/>
  <c r="S597" i="7"/>
  <c r="T597" i="7" s="1"/>
  <c r="T596" i="7"/>
  <c r="S596" i="7"/>
  <c r="V595" i="7"/>
  <c r="U595" i="7"/>
  <c r="S595" i="7"/>
  <c r="T595" i="7" s="1"/>
  <c r="T594" i="7"/>
  <c r="S594" i="7"/>
  <c r="T593" i="7"/>
  <c r="S593" i="7"/>
  <c r="V592" i="7"/>
  <c r="U592" i="7"/>
  <c r="T592" i="7"/>
  <c r="S592" i="7"/>
  <c r="V591" i="7"/>
  <c r="U591" i="7"/>
  <c r="S591" i="7"/>
  <c r="T591" i="7" s="1"/>
  <c r="V590" i="7"/>
  <c r="U590" i="7"/>
  <c r="T590" i="7"/>
  <c r="S590" i="7"/>
  <c r="U589" i="7"/>
  <c r="V589" i="7" s="1"/>
  <c r="T589" i="7"/>
  <c r="S589" i="7"/>
  <c r="T588" i="7"/>
  <c r="S588" i="7"/>
  <c r="S587" i="7"/>
  <c r="T587" i="7" s="1"/>
  <c r="T586" i="7"/>
  <c r="S586" i="7"/>
  <c r="T585" i="7"/>
  <c r="S585" i="7"/>
  <c r="S584" i="7"/>
  <c r="T584" i="7" s="1"/>
  <c r="V583" i="7"/>
  <c r="U583" i="7"/>
  <c r="T583" i="7"/>
  <c r="S583" i="7"/>
  <c r="U582" i="7"/>
  <c r="V582" i="7" s="1"/>
  <c r="T582" i="7"/>
  <c r="S582" i="7"/>
  <c r="V581" i="7"/>
  <c r="U581" i="7"/>
  <c r="T581" i="7"/>
  <c r="S581" i="7"/>
  <c r="V580" i="7"/>
  <c r="U580" i="7"/>
  <c r="T580" i="7"/>
  <c r="S580" i="7"/>
  <c r="S579" i="7"/>
  <c r="T579" i="7" s="1"/>
  <c r="T578" i="7"/>
  <c r="S578" i="7"/>
  <c r="T577" i="7"/>
  <c r="S577" i="7"/>
  <c r="U576" i="7"/>
  <c r="V576" i="7" s="1"/>
  <c r="T576" i="7"/>
  <c r="S576" i="7"/>
  <c r="V575" i="7"/>
  <c r="U575" i="7"/>
  <c r="S575" i="7"/>
  <c r="T575" i="7" s="1"/>
  <c r="V574" i="7"/>
  <c r="U574" i="7"/>
  <c r="T574" i="7"/>
  <c r="S574" i="7"/>
  <c r="U573" i="7"/>
  <c r="V573" i="7" s="1"/>
  <c r="T573" i="7"/>
  <c r="S573" i="7"/>
  <c r="T572" i="7"/>
  <c r="S572" i="7"/>
  <c r="S571" i="7"/>
  <c r="T571" i="7" s="1"/>
  <c r="V570" i="7"/>
  <c r="U570" i="7"/>
  <c r="T570" i="7"/>
  <c r="S570" i="7"/>
  <c r="V569" i="7"/>
  <c r="U569" i="7"/>
  <c r="T569" i="7"/>
  <c r="S569" i="7"/>
  <c r="T568" i="7"/>
  <c r="S568" i="7"/>
  <c r="S567" i="7"/>
  <c r="T567" i="7" s="1"/>
  <c r="T566" i="7"/>
  <c r="S566" i="7"/>
  <c r="T565" i="7"/>
  <c r="S565" i="7"/>
  <c r="S564" i="7"/>
  <c r="T564" i="7" s="1"/>
  <c r="T563" i="7"/>
  <c r="S563" i="7"/>
  <c r="T562" i="7"/>
  <c r="S562" i="7"/>
  <c r="S561" i="7"/>
  <c r="T561" i="7" s="1"/>
  <c r="T560" i="7"/>
  <c r="S560" i="7"/>
  <c r="T559" i="7"/>
  <c r="S559" i="7"/>
  <c r="U558" i="7"/>
  <c r="V558" i="7" s="1"/>
  <c r="T558" i="7"/>
  <c r="S558" i="7"/>
  <c r="V557" i="7"/>
  <c r="U557" i="7"/>
  <c r="S557" i="7"/>
  <c r="T557" i="7" s="1"/>
  <c r="T556" i="7"/>
  <c r="S556" i="7"/>
  <c r="V555" i="7"/>
  <c r="U555" i="7"/>
  <c r="T555" i="7"/>
  <c r="S555" i="7"/>
  <c r="V554" i="7"/>
  <c r="U554" i="7"/>
  <c r="T554" i="7"/>
  <c r="S554" i="7"/>
  <c r="S553" i="7"/>
  <c r="T553" i="7" s="1"/>
  <c r="T552" i="7"/>
  <c r="S552" i="7"/>
  <c r="T551" i="7"/>
  <c r="S551" i="7"/>
  <c r="S550" i="7"/>
  <c r="T550" i="7" s="1"/>
  <c r="V549" i="7"/>
  <c r="U549" i="7"/>
  <c r="T549" i="7"/>
  <c r="S549" i="7"/>
  <c r="U548" i="7"/>
  <c r="V548" i="7" s="1"/>
  <c r="T548" i="7"/>
  <c r="S548" i="7"/>
  <c r="V547" i="7"/>
  <c r="U547" i="7"/>
  <c r="S547" i="7"/>
  <c r="T547" i="7" s="1"/>
  <c r="T546" i="7"/>
  <c r="S546" i="7"/>
  <c r="T545" i="7"/>
  <c r="S545" i="7"/>
  <c r="S544" i="7"/>
  <c r="T544" i="7" s="1"/>
  <c r="S543" i="7"/>
  <c r="T543" i="7" s="1"/>
  <c r="T542" i="7"/>
  <c r="S542" i="7"/>
  <c r="V541" i="7"/>
  <c r="U541" i="7"/>
  <c r="T541" i="7"/>
  <c r="S541" i="7"/>
  <c r="V540" i="7"/>
  <c r="U540" i="7"/>
  <c r="S540" i="7"/>
  <c r="T540" i="7" s="1"/>
  <c r="U539" i="7"/>
  <c r="V539" i="7" s="1"/>
  <c r="T539" i="7"/>
  <c r="S539" i="7"/>
  <c r="S538" i="7"/>
  <c r="T538" i="7" s="1"/>
  <c r="V537" i="7"/>
  <c r="U537" i="7"/>
  <c r="T537" i="7"/>
  <c r="S537" i="7"/>
  <c r="U536" i="7"/>
  <c r="V536" i="7" s="1"/>
  <c r="T536" i="7"/>
  <c r="S536" i="7"/>
  <c r="V535" i="7"/>
  <c r="U535" i="7"/>
  <c r="S535" i="7"/>
  <c r="T535" i="7" s="1"/>
  <c r="T534" i="7"/>
  <c r="S534" i="7"/>
  <c r="U533" i="7"/>
  <c r="V533" i="7" s="1"/>
  <c r="S533" i="7"/>
  <c r="T533" i="7" s="1"/>
  <c r="S532" i="7"/>
  <c r="T532" i="7" s="1"/>
  <c r="V531" i="7"/>
  <c r="U531" i="7"/>
  <c r="T531" i="7"/>
  <c r="S531" i="7"/>
  <c r="S530" i="7"/>
  <c r="T530" i="7" s="1"/>
  <c r="S529" i="7"/>
  <c r="T529" i="7" s="1"/>
  <c r="S528" i="7"/>
  <c r="T528" i="7" s="1"/>
  <c r="U527" i="7"/>
  <c r="V527" i="7" s="1"/>
  <c r="T527" i="7"/>
  <c r="S527" i="7"/>
  <c r="S526" i="7"/>
  <c r="T526" i="7" s="1"/>
  <c r="S525" i="7"/>
  <c r="T525" i="7" s="1"/>
  <c r="T524" i="7"/>
  <c r="S524" i="7"/>
  <c r="U523" i="7"/>
  <c r="V523" i="7" s="1"/>
  <c r="T523" i="7"/>
  <c r="S523" i="7"/>
  <c r="U522" i="7"/>
  <c r="V522" i="7" s="1"/>
  <c r="S522" i="7"/>
  <c r="T522" i="7" s="1"/>
  <c r="V521" i="7"/>
  <c r="U521" i="7"/>
  <c r="S521" i="7"/>
  <c r="T521" i="7" s="1"/>
  <c r="U520" i="7"/>
  <c r="V520" i="7" s="1"/>
  <c r="S520" i="7"/>
  <c r="T520" i="7" s="1"/>
  <c r="U519" i="7"/>
  <c r="V519" i="7" s="1"/>
  <c r="T519" i="7"/>
  <c r="S519" i="7"/>
  <c r="U518" i="7"/>
  <c r="V518" i="7" s="1"/>
  <c r="S518" i="7"/>
  <c r="T518" i="7" s="1"/>
  <c r="S517" i="7"/>
  <c r="T517" i="7" s="1"/>
  <c r="S516" i="7"/>
  <c r="T516" i="7" s="1"/>
  <c r="T515" i="7"/>
  <c r="S515" i="7"/>
  <c r="S514" i="7"/>
  <c r="T514" i="7" s="1"/>
  <c r="S513" i="7"/>
  <c r="T513" i="7" s="1"/>
  <c r="T512" i="7"/>
  <c r="S512" i="7"/>
  <c r="U511" i="7"/>
  <c r="V511" i="7" s="1"/>
  <c r="T511" i="7"/>
  <c r="S511" i="7"/>
  <c r="S510" i="7"/>
  <c r="T510" i="7" s="1"/>
  <c r="U509" i="7"/>
  <c r="V509" i="7" s="1"/>
  <c r="T509" i="7"/>
  <c r="S509" i="7"/>
  <c r="U508" i="7"/>
  <c r="V508" i="7" s="1"/>
  <c r="S508" i="7"/>
  <c r="T508" i="7" s="1"/>
  <c r="U507" i="7"/>
  <c r="V507" i="7" s="1"/>
  <c r="S507" i="7"/>
  <c r="T507" i="7" s="1"/>
  <c r="T506" i="7"/>
  <c r="S506" i="7"/>
  <c r="U505" i="7"/>
  <c r="V505" i="7" s="1"/>
  <c r="S505" i="7"/>
  <c r="T505" i="7" s="1"/>
  <c r="U504" i="7"/>
  <c r="V504" i="7" s="1"/>
  <c r="S504" i="7"/>
  <c r="T504" i="7" s="1"/>
  <c r="V503" i="7"/>
  <c r="U503" i="7"/>
  <c r="S503" i="7"/>
  <c r="T503" i="7" s="1"/>
  <c r="U502" i="7"/>
  <c r="V502" i="7" s="1"/>
  <c r="T502" i="7"/>
  <c r="S502" i="7"/>
  <c r="S501" i="7"/>
  <c r="T501" i="7" s="1"/>
  <c r="V500" i="7"/>
  <c r="U500" i="7"/>
  <c r="S500" i="7"/>
  <c r="T500" i="7" s="1"/>
  <c r="U499" i="7"/>
  <c r="V499" i="7" s="1"/>
  <c r="T499" i="7"/>
  <c r="S499" i="7"/>
  <c r="S498" i="7"/>
  <c r="T498" i="7" s="1"/>
  <c r="S497" i="7"/>
  <c r="T497" i="7" s="1"/>
  <c r="S496" i="7"/>
  <c r="T496" i="7" s="1"/>
  <c r="U495" i="7"/>
  <c r="V495" i="7" s="1"/>
  <c r="T495" i="7"/>
  <c r="S495" i="7"/>
  <c r="S494" i="7"/>
  <c r="T494" i="7" s="1"/>
  <c r="U493" i="7"/>
  <c r="V493" i="7" s="1"/>
  <c r="S493" i="7"/>
  <c r="T493" i="7" s="1"/>
  <c r="U492" i="7"/>
  <c r="V492" i="7" s="1"/>
  <c r="T492" i="7"/>
  <c r="S492" i="7"/>
  <c r="S491" i="7"/>
  <c r="T491" i="7" s="1"/>
  <c r="U490" i="7"/>
  <c r="V490" i="7" s="1"/>
  <c r="T490" i="7"/>
  <c r="S490" i="7"/>
  <c r="U489" i="7"/>
  <c r="V489" i="7" s="1"/>
  <c r="T489" i="7"/>
  <c r="S489" i="7"/>
  <c r="U488" i="7"/>
  <c r="V488" i="7" s="1"/>
  <c r="S488" i="7"/>
  <c r="T488" i="7" s="1"/>
  <c r="T487" i="7"/>
  <c r="S487" i="7"/>
  <c r="S486" i="7"/>
  <c r="T486" i="7" s="1"/>
  <c r="U485" i="7"/>
  <c r="V485" i="7" s="1"/>
  <c r="S485" i="7"/>
  <c r="T485" i="7" s="1"/>
  <c r="S484" i="7"/>
  <c r="T484" i="7" s="1"/>
  <c r="T483" i="7"/>
  <c r="S483" i="7"/>
  <c r="S482" i="7"/>
  <c r="T482" i="7" s="1"/>
  <c r="S481" i="7"/>
  <c r="T481" i="7" s="1"/>
  <c r="S480" i="7"/>
  <c r="T480" i="7" s="1"/>
  <c r="S479" i="7"/>
  <c r="T479" i="7" s="1"/>
  <c r="V478" i="7"/>
  <c r="U478" i="7"/>
  <c r="S478" i="7"/>
  <c r="T478" i="7" s="1"/>
  <c r="S477" i="7"/>
  <c r="T477" i="7" s="1"/>
  <c r="T476" i="7"/>
  <c r="S476" i="7"/>
  <c r="S475" i="7"/>
  <c r="T475" i="7" s="1"/>
  <c r="T474" i="7"/>
  <c r="S474" i="7"/>
  <c r="S473" i="7"/>
  <c r="T473" i="7" s="1"/>
  <c r="U472" i="7"/>
  <c r="V472" i="7" s="1"/>
  <c r="T472" i="7"/>
  <c r="S472" i="7"/>
  <c r="S471" i="7"/>
  <c r="T471" i="7" s="1"/>
  <c r="S470" i="7"/>
  <c r="T470" i="7" s="1"/>
  <c r="U469" i="7"/>
  <c r="V469" i="7" s="1"/>
  <c r="S469" i="7"/>
  <c r="T469" i="7" s="1"/>
  <c r="V468" i="7"/>
  <c r="U468" i="7"/>
  <c r="S468" i="7"/>
  <c r="T468" i="7" s="1"/>
  <c r="S467" i="7"/>
  <c r="T467" i="7" s="1"/>
  <c r="U466" i="7"/>
  <c r="V466" i="7" s="1"/>
  <c r="S466" i="7"/>
  <c r="T466" i="7" s="1"/>
  <c r="V465" i="7"/>
  <c r="U465" i="7"/>
  <c r="S465" i="7"/>
  <c r="T465" i="7" s="1"/>
  <c r="U464" i="7"/>
  <c r="V464" i="7" s="1"/>
  <c r="T464" i="7"/>
  <c r="S464" i="7"/>
  <c r="S463" i="7"/>
  <c r="T463" i="7" s="1"/>
  <c r="T462" i="7"/>
  <c r="S462" i="7"/>
  <c r="S461" i="7"/>
  <c r="T461" i="7" s="1"/>
  <c r="S460" i="7"/>
  <c r="T460" i="7" s="1"/>
  <c r="T459" i="7"/>
  <c r="S459" i="7"/>
  <c r="U458" i="7"/>
  <c r="V458" i="7" s="1"/>
  <c r="S458" i="7"/>
  <c r="T458" i="7" s="1"/>
  <c r="U457" i="7"/>
  <c r="V457" i="7" s="1"/>
  <c r="S457" i="7"/>
  <c r="T457" i="7" s="1"/>
  <c r="V456" i="7"/>
  <c r="U456" i="7"/>
  <c r="S456" i="7"/>
  <c r="T456" i="7" s="1"/>
  <c r="U455" i="7"/>
  <c r="V455" i="7" s="1"/>
  <c r="S455" i="7"/>
  <c r="T455" i="7" s="1"/>
  <c r="S454" i="7"/>
  <c r="T454" i="7" s="1"/>
  <c r="V453" i="7"/>
  <c r="U453" i="7"/>
  <c r="S453" i="7"/>
  <c r="T453" i="7" s="1"/>
  <c r="S452" i="7"/>
  <c r="T452" i="7" s="1"/>
  <c r="T451" i="7"/>
  <c r="S451" i="7"/>
  <c r="S450" i="7"/>
  <c r="T450" i="7" s="1"/>
  <c r="T449" i="7"/>
  <c r="S449" i="7"/>
  <c r="U448" i="7"/>
  <c r="V448" i="7" s="1"/>
  <c r="S448" i="7"/>
  <c r="T448" i="7" s="1"/>
  <c r="T447" i="7"/>
  <c r="S447" i="7"/>
  <c r="U446" i="7"/>
  <c r="V446" i="7" s="1"/>
  <c r="S446" i="7"/>
  <c r="T446" i="7" s="1"/>
  <c r="S445" i="7"/>
  <c r="T445" i="7" s="1"/>
  <c r="S444" i="7"/>
  <c r="T444" i="7" s="1"/>
  <c r="V443" i="7"/>
  <c r="U443" i="7"/>
  <c r="S443" i="7"/>
  <c r="T443" i="7" s="1"/>
  <c r="U442" i="7"/>
  <c r="V442" i="7" s="1"/>
  <c r="S442" i="7"/>
  <c r="T442" i="7" s="1"/>
  <c r="S441" i="7"/>
  <c r="T441" i="7" s="1"/>
  <c r="V440" i="7"/>
  <c r="U440" i="7"/>
  <c r="S440" i="7"/>
  <c r="T440" i="7" s="1"/>
  <c r="S439" i="7"/>
  <c r="T439" i="7" s="1"/>
  <c r="V438" i="7"/>
  <c r="U438" i="7"/>
  <c r="S438" i="7"/>
  <c r="T438" i="7" s="1"/>
  <c r="V437" i="7"/>
  <c r="U437" i="7"/>
  <c r="S437" i="7"/>
  <c r="T437" i="7" s="1"/>
  <c r="U436" i="7"/>
  <c r="V436" i="7" s="1"/>
  <c r="T436" i="7"/>
  <c r="S436" i="7"/>
  <c r="S435" i="7"/>
  <c r="T435" i="7" s="1"/>
  <c r="S434" i="7"/>
  <c r="T434" i="7" s="1"/>
  <c r="U433" i="7"/>
  <c r="V433" i="7" s="1"/>
  <c r="S433" i="7"/>
  <c r="T433" i="7" s="1"/>
  <c r="T432" i="7"/>
  <c r="S432" i="7"/>
  <c r="S431" i="7"/>
  <c r="T431" i="7" s="1"/>
  <c r="S430" i="7"/>
  <c r="T430" i="7" s="1"/>
  <c r="S429" i="7"/>
  <c r="T429" i="7" s="1"/>
  <c r="S428" i="7"/>
  <c r="T428" i="7" s="1"/>
  <c r="V427" i="7"/>
  <c r="U427" i="7"/>
  <c r="S427" i="7"/>
  <c r="T427" i="7" s="1"/>
  <c r="S426" i="7"/>
  <c r="T426" i="7" s="1"/>
  <c r="V425" i="7"/>
  <c r="U425" i="7"/>
  <c r="S425" i="7"/>
  <c r="T425" i="7" s="1"/>
  <c r="V424" i="7"/>
  <c r="U424" i="7"/>
  <c r="S424" i="7"/>
  <c r="T424" i="7" s="1"/>
  <c r="U423" i="7"/>
  <c r="V423" i="7" s="1"/>
  <c r="T423" i="7"/>
  <c r="S423" i="7"/>
  <c r="S422" i="7"/>
  <c r="T422" i="7" s="1"/>
  <c r="S421" i="7"/>
  <c r="T421" i="7" s="1"/>
  <c r="S420" i="7"/>
  <c r="T420" i="7" s="1"/>
  <c r="S419" i="7"/>
  <c r="T419" i="7" s="1"/>
  <c r="T418" i="7"/>
  <c r="S418" i="7"/>
  <c r="S417" i="7"/>
  <c r="T417" i="7" s="1"/>
  <c r="U416" i="7"/>
  <c r="V416" i="7" s="1"/>
  <c r="S416" i="7"/>
  <c r="T416" i="7" s="1"/>
  <c r="U415" i="7"/>
  <c r="V415" i="7" s="1"/>
  <c r="T415" i="7"/>
  <c r="S415" i="7"/>
  <c r="S414" i="7"/>
  <c r="T414" i="7" s="1"/>
  <c r="S413" i="7"/>
  <c r="T413" i="7" s="1"/>
  <c r="T412" i="7"/>
  <c r="S412" i="7"/>
  <c r="S411" i="7"/>
  <c r="T411" i="7" s="1"/>
  <c r="T410" i="7"/>
  <c r="S410" i="7"/>
  <c r="U409" i="7"/>
  <c r="V409" i="7" s="1"/>
  <c r="S409" i="7"/>
  <c r="T409" i="7" s="1"/>
  <c r="V408" i="7"/>
  <c r="U408" i="7"/>
  <c r="S408" i="7"/>
  <c r="T408" i="7" s="1"/>
  <c r="U407" i="7"/>
  <c r="V407" i="7" s="1"/>
  <c r="S407" i="7"/>
  <c r="T407" i="7" s="1"/>
  <c r="S406" i="7"/>
  <c r="T406" i="7" s="1"/>
  <c r="V405" i="7"/>
  <c r="U405" i="7"/>
  <c r="S405" i="7"/>
  <c r="T405" i="7" s="1"/>
  <c r="U404" i="7"/>
  <c r="V404" i="7" s="1"/>
  <c r="S404" i="7"/>
  <c r="T404" i="7" s="1"/>
  <c r="S403" i="7"/>
  <c r="T403" i="7" s="1"/>
  <c r="T402" i="7"/>
  <c r="S402" i="7"/>
  <c r="S401" i="7"/>
  <c r="T401" i="7" s="1"/>
  <c r="S400" i="7"/>
  <c r="T400" i="7" s="1"/>
  <c r="T399" i="7"/>
  <c r="S399" i="7"/>
  <c r="S398" i="7"/>
  <c r="T398" i="7" s="1"/>
  <c r="T397" i="7"/>
  <c r="S397" i="7"/>
  <c r="U396" i="7"/>
  <c r="V396" i="7" s="1"/>
  <c r="S396" i="7"/>
  <c r="T396" i="7" s="1"/>
  <c r="T395" i="7"/>
  <c r="S395" i="7"/>
  <c r="S394" i="7"/>
  <c r="T394" i="7" s="1"/>
  <c r="S393" i="7"/>
  <c r="T393" i="7" s="1"/>
  <c r="U392" i="7"/>
  <c r="V392" i="7" s="1"/>
  <c r="S392" i="7"/>
  <c r="T392" i="7" s="1"/>
  <c r="T391" i="7"/>
  <c r="S391" i="7"/>
  <c r="U390" i="7"/>
  <c r="V390" i="7" s="1"/>
  <c r="S390" i="7"/>
  <c r="T390" i="7" s="1"/>
  <c r="U389" i="7"/>
  <c r="V389" i="7" s="1"/>
  <c r="S389" i="7"/>
  <c r="T389" i="7" s="1"/>
  <c r="V388" i="7"/>
  <c r="U388" i="7"/>
  <c r="S388" i="7"/>
  <c r="T388" i="7" s="1"/>
  <c r="U387" i="7"/>
  <c r="V387" i="7" s="1"/>
  <c r="T387" i="7"/>
  <c r="S387" i="7"/>
  <c r="U386" i="7"/>
  <c r="V386" i="7" s="1"/>
  <c r="T386" i="7"/>
  <c r="S386" i="7"/>
  <c r="S385" i="7"/>
  <c r="T385" i="7" s="1"/>
  <c r="U384" i="7"/>
  <c r="V384" i="7" s="1"/>
  <c r="T384" i="7"/>
  <c r="S384" i="7"/>
  <c r="U383" i="7"/>
  <c r="V383" i="7" s="1"/>
  <c r="S383" i="7"/>
  <c r="T383" i="7" s="1"/>
  <c r="U382" i="7"/>
  <c r="V382" i="7" s="1"/>
  <c r="S382" i="7"/>
  <c r="T382" i="7" s="1"/>
  <c r="V381" i="7"/>
  <c r="U381" i="7"/>
  <c r="S381" i="7"/>
  <c r="T381" i="7" s="1"/>
  <c r="S380" i="7"/>
  <c r="T380" i="7" s="1"/>
  <c r="S379" i="7"/>
  <c r="T379" i="7" s="1"/>
  <c r="S378" i="7"/>
  <c r="T378" i="7" s="1"/>
  <c r="T377" i="7"/>
  <c r="S377" i="7"/>
  <c r="S376" i="7"/>
  <c r="T376" i="7" s="1"/>
  <c r="S375" i="7"/>
  <c r="T375" i="7" s="1"/>
  <c r="T374" i="7"/>
  <c r="S374" i="7"/>
  <c r="S373" i="7"/>
  <c r="T373" i="7" s="1"/>
  <c r="V372" i="7"/>
  <c r="U372" i="7"/>
  <c r="S372" i="7"/>
  <c r="T372" i="7" s="1"/>
  <c r="U371" i="7"/>
  <c r="V371" i="7" s="1"/>
  <c r="T371" i="7"/>
  <c r="S371" i="7"/>
  <c r="U370" i="7"/>
  <c r="V370" i="7" s="1"/>
  <c r="S370" i="7"/>
  <c r="T370" i="7" s="1"/>
  <c r="U369" i="7"/>
  <c r="V369" i="7" s="1"/>
  <c r="S369" i="7"/>
  <c r="T369" i="7" s="1"/>
  <c r="V368" i="7"/>
  <c r="U368" i="7"/>
  <c r="S368" i="7"/>
  <c r="T368" i="7" s="1"/>
  <c r="S367" i="7"/>
  <c r="T367" i="7" s="1"/>
  <c r="U366" i="7"/>
  <c r="V366" i="7" s="1"/>
  <c r="S366" i="7"/>
  <c r="T366" i="7" s="1"/>
  <c r="V365" i="7"/>
  <c r="U365" i="7"/>
  <c r="S365" i="7"/>
  <c r="T365" i="7" s="1"/>
  <c r="S364" i="7"/>
  <c r="T364" i="7" s="1"/>
  <c r="V363" i="7"/>
  <c r="U363" i="7"/>
  <c r="S363" i="7"/>
  <c r="T363" i="7" s="1"/>
  <c r="T362" i="7"/>
  <c r="S362" i="7"/>
  <c r="S361" i="7"/>
  <c r="T361" i="7" s="1"/>
  <c r="U360" i="7"/>
  <c r="V360" i="7" s="1"/>
  <c r="T360" i="7"/>
  <c r="S360" i="7"/>
  <c r="S359" i="7"/>
  <c r="T359" i="7" s="1"/>
  <c r="S358" i="7"/>
  <c r="T358" i="7" s="1"/>
  <c r="S357" i="7"/>
  <c r="T357" i="7" s="1"/>
  <c r="S356" i="7"/>
  <c r="T356" i="7" s="1"/>
  <c r="T355" i="7"/>
  <c r="S355" i="7"/>
  <c r="U354" i="7"/>
  <c r="V354" i="7" s="1"/>
  <c r="S354" i="7"/>
  <c r="T354" i="7" s="1"/>
  <c r="U353" i="7"/>
  <c r="V353" i="7" s="1"/>
  <c r="S353" i="7"/>
  <c r="T353" i="7" s="1"/>
  <c r="V352" i="7"/>
  <c r="U352" i="7"/>
  <c r="S352" i="7"/>
  <c r="T352" i="7" s="1"/>
  <c r="U351" i="7"/>
  <c r="V351" i="7" s="1"/>
  <c r="T351" i="7"/>
  <c r="S351" i="7"/>
  <c r="S350" i="7"/>
  <c r="T350" i="7" s="1"/>
  <c r="V349" i="7"/>
  <c r="U349" i="7"/>
  <c r="S349" i="7"/>
  <c r="T349" i="7" s="1"/>
  <c r="U348" i="7"/>
  <c r="V348" i="7" s="1"/>
  <c r="T348" i="7"/>
  <c r="S348" i="7"/>
  <c r="U347" i="7"/>
  <c r="V347" i="7" s="1"/>
  <c r="S347" i="7"/>
  <c r="T347" i="7" s="1"/>
  <c r="S346" i="7"/>
  <c r="T346" i="7" s="1"/>
  <c r="U345" i="7"/>
  <c r="V345" i="7" s="1"/>
  <c r="T345" i="7"/>
  <c r="S345" i="7"/>
  <c r="U344" i="7"/>
  <c r="V344" i="7" s="1"/>
  <c r="S344" i="7"/>
  <c r="T344" i="7" s="1"/>
  <c r="U343" i="7"/>
  <c r="V343" i="7" s="1"/>
  <c r="S343" i="7"/>
  <c r="T343" i="7" s="1"/>
  <c r="V342" i="7"/>
  <c r="U342" i="7"/>
  <c r="S342" i="7"/>
  <c r="T342" i="7" s="1"/>
  <c r="U341" i="7"/>
  <c r="V341" i="7" s="1"/>
  <c r="T341" i="7"/>
  <c r="S341" i="7"/>
  <c r="U340" i="7"/>
  <c r="V340" i="7" s="1"/>
  <c r="T340" i="7"/>
  <c r="S340" i="7"/>
  <c r="U339" i="7"/>
  <c r="V339" i="7" s="1"/>
  <c r="S339" i="7"/>
  <c r="T339" i="7" s="1"/>
  <c r="V338" i="7"/>
  <c r="U338" i="7"/>
  <c r="S338" i="7"/>
  <c r="T338" i="7" s="1"/>
  <c r="U337" i="7"/>
  <c r="V337" i="7" s="1"/>
  <c r="S337" i="7"/>
  <c r="T337" i="7" s="1"/>
  <c r="U336" i="7"/>
  <c r="V336" i="7" s="1"/>
  <c r="T336" i="7"/>
  <c r="S336" i="7"/>
  <c r="U335" i="7"/>
  <c r="V335" i="7" s="1"/>
  <c r="S335" i="7"/>
  <c r="T335" i="7" s="1"/>
  <c r="U334" i="7"/>
  <c r="V334" i="7" s="1"/>
  <c r="S334" i="7"/>
  <c r="T334" i="7" s="1"/>
  <c r="T333" i="7"/>
  <c r="S333" i="7"/>
  <c r="S332" i="7"/>
  <c r="T332" i="7" s="1"/>
  <c r="U331" i="7"/>
  <c r="V331" i="7" s="1"/>
  <c r="T331" i="7"/>
  <c r="S331" i="7"/>
  <c r="U330" i="7"/>
  <c r="V330" i="7" s="1"/>
  <c r="T330" i="7"/>
  <c r="S330" i="7"/>
  <c r="U329" i="7"/>
  <c r="V329" i="7" s="1"/>
  <c r="S329" i="7"/>
  <c r="T329" i="7" s="1"/>
  <c r="V328" i="7"/>
  <c r="U328" i="7"/>
  <c r="S328" i="7"/>
  <c r="T328" i="7" s="1"/>
  <c r="U327" i="7"/>
  <c r="V327" i="7" s="1"/>
  <c r="S327" i="7"/>
  <c r="T327" i="7" s="1"/>
  <c r="U326" i="7"/>
  <c r="V326" i="7" s="1"/>
  <c r="T326" i="7"/>
  <c r="S326" i="7"/>
  <c r="S325" i="7"/>
  <c r="T325" i="7" s="1"/>
  <c r="S324" i="7"/>
  <c r="T324" i="7" s="1"/>
  <c r="T323" i="7"/>
  <c r="S323" i="7"/>
  <c r="S322" i="7"/>
  <c r="T322" i="7" s="1"/>
  <c r="S321" i="7"/>
  <c r="T321" i="7" s="1"/>
  <c r="T320" i="7"/>
  <c r="S320" i="7"/>
  <c r="S319" i="7"/>
  <c r="T319" i="7" s="1"/>
  <c r="S318" i="7"/>
  <c r="T318" i="7" s="1"/>
  <c r="T317" i="7"/>
  <c r="S317" i="7"/>
  <c r="S316" i="7"/>
  <c r="T316" i="7" s="1"/>
  <c r="S315" i="7"/>
  <c r="T315" i="7" s="1"/>
  <c r="T314" i="7"/>
  <c r="S314" i="7"/>
  <c r="U313" i="7"/>
  <c r="V313" i="7" s="1"/>
  <c r="S313" i="7"/>
  <c r="T313" i="7" s="1"/>
  <c r="T312" i="7"/>
  <c r="S312" i="7"/>
  <c r="S311" i="7"/>
  <c r="T311" i="7" s="1"/>
  <c r="U310" i="7"/>
  <c r="V310" i="7" s="1"/>
  <c r="T310" i="7"/>
  <c r="S310" i="7"/>
  <c r="U309" i="7"/>
  <c r="V309" i="7" s="1"/>
  <c r="S309" i="7"/>
  <c r="T309" i="7" s="1"/>
  <c r="T308" i="7"/>
  <c r="S308" i="7"/>
  <c r="S307" i="7"/>
  <c r="T307" i="7" s="1"/>
  <c r="U306" i="7"/>
  <c r="V306" i="7" s="1"/>
  <c r="T306" i="7"/>
  <c r="S306" i="7"/>
  <c r="U305" i="7"/>
  <c r="V305" i="7" s="1"/>
  <c r="S305" i="7"/>
  <c r="T305" i="7" s="1"/>
  <c r="T304" i="7"/>
  <c r="S304" i="7"/>
  <c r="U303" i="7"/>
  <c r="V303" i="7" s="1"/>
  <c r="S303" i="7"/>
  <c r="T303" i="7" s="1"/>
  <c r="T302" i="7"/>
  <c r="S302" i="7"/>
  <c r="S301" i="7"/>
  <c r="T301" i="7" s="1"/>
  <c r="S300" i="7"/>
  <c r="T300" i="7" s="1"/>
  <c r="T299" i="7"/>
  <c r="S299" i="7"/>
  <c r="S298" i="7"/>
  <c r="T298" i="7" s="1"/>
  <c r="S297" i="7"/>
  <c r="T297" i="7" s="1"/>
  <c r="T296" i="7"/>
  <c r="S296" i="7"/>
  <c r="U295" i="7"/>
  <c r="V295" i="7" s="1"/>
  <c r="S295" i="7"/>
  <c r="T295" i="7" s="1"/>
  <c r="V294" i="7"/>
  <c r="U294" i="7"/>
  <c r="S294" i="7"/>
  <c r="T294" i="7" s="1"/>
  <c r="S293" i="7"/>
  <c r="T293" i="7" s="1"/>
  <c r="T292" i="7"/>
  <c r="S292" i="7"/>
  <c r="U291" i="7"/>
  <c r="V291" i="7" s="1"/>
  <c r="S291" i="7"/>
  <c r="T291" i="7" s="1"/>
  <c r="V290" i="7"/>
  <c r="U290" i="7"/>
  <c r="S290" i="7"/>
  <c r="T290" i="7" s="1"/>
  <c r="U289" i="7"/>
  <c r="V289" i="7" s="1"/>
  <c r="T289" i="7"/>
  <c r="S289" i="7"/>
  <c r="S288" i="7"/>
  <c r="T288" i="7" s="1"/>
  <c r="S287" i="7"/>
  <c r="T287" i="7" s="1"/>
  <c r="V286" i="7"/>
  <c r="U286" i="7"/>
  <c r="S286" i="7"/>
  <c r="T286" i="7" s="1"/>
  <c r="S285" i="7"/>
  <c r="T285" i="7" s="1"/>
  <c r="V284" i="7"/>
  <c r="U284" i="7"/>
  <c r="S284" i="7"/>
  <c r="T284" i="7" s="1"/>
  <c r="U283" i="7"/>
  <c r="V283" i="7" s="1"/>
  <c r="T283" i="7"/>
  <c r="S283" i="7"/>
  <c r="U282" i="7"/>
  <c r="V282" i="7" s="1"/>
  <c r="S282" i="7"/>
  <c r="T282" i="7" s="1"/>
  <c r="T281" i="7"/>
  <c r="S281" i="7"/>
  <c r="S280" i="7"/>
  <c r="T280" i="7" s="1"/>
  <c r="U279" i="7"/>
  <c r="V279" i="7" s="1"/>
  <c r="T279" i="7"/>
  <c r="S279" i="7"/>
  <c r="S278" i="7"/>
  <c r="T278" i="7" s="1"/>
  <c r="S277" i="7"/>
  <c r="T277" i="7" s="1"/>
  <c r="T276" i="7"/>
  <c r="S276" i="7"/>
  <c r="S275" i="7"/>
  <c r="T275" i="7" s="1"/>
  <c r="S274" i="7"/>
  <c r="T274" i="7" s="1"/>
  <c r="T273" i="7"/>
  <c r="S273" i="7"/>
  <c r="S272" i="7"/>
  <c r="T272" i="7" s="1"/>
  <c r="S271" i="7"/>
  <c r="T271" i="7" s="1"/>
  <c r="T270" i="7"/>
  <c r="S270" i="7"/>
  <c r="S269" i="7"/>
  <c r="T269" i="7" s="1"/>
  <c r="S268" i="7"/>
  <c r="T268" i="7" s="1"/>
  <c r="V267" i="7"/>
  <c r="U267" i="7"/>
  <c r="S267" i="7"/>
  <c r="T267" i="7" s="1"/>
  <c r="S266" i="7"/>
  <c r="T266" i="7" s="1"/>
  <c r="T265" i="7"/>
  <c r="S265" i="7"/>
  <c r="S264" i="7"/>
  <c r="T264" i="7" s="1"/>
  <c r="S263" i="7"/>
  <c r="T263" i="7" s="1"/>
  <c r="T262" i="7"/>
  <c r="S262" i="7"/>
  <c r="S261" i="7"/>
  <c r="T261" i="7" s="1"/>
  <c r="S260" i="7"/>
  <c r="T260" i="7" s="1"/>
  <c r="T259" i="7"/>
  <c r="S259" i="7"/>
  <c r="S258" i="7"/>
  <c r="T258" i="7" s="1"/>
  <c r="U257" i="7"/>
  <c r="V257" i="7" s="1"/>
  <c r="T257" i="7"/>
  <c r="S257" i="7"/>
  <c r="U256" i="7"/>
  <c r="V256" i="7" s="1"/>
  <c r="S256" i="7"/>
  <c r="T256" i="7" s="1"/>
  <c r="T255" i="7"/>
  <c r="S255" i="7"/>
  <c r="S254" i="7"/>
  <c r="T254" i="7" s="1"/>
  <c r="U253" i="7"/>
  <c r="V253" i="7" s="1"/>
  <c r="T253" i="7"/>
  <c r="S253" i="7"/>
  <c r="S252" i="7"/>
  <c r="T252" i="7" s="1"/>
  <c r="S251" i="7"/>
  <c r="T251" i="7" s="1"/>
  <c r="V250" i="7"/>
  <c r="U250" i="7"/>
  <c r="S250" i="7"/>
  <c r="T250" i="7" s="1"/>
  <c r="S249" i="7"/>
  <c r="T249" i="7" s="1"/>
  <c r="V248" i="7"/>
  <c r="U248" i="7"/>
  <c r="S248" i="7"/>
  <c r="T248" i="7" s="1"/>
  <c r="S247" i="7"/>
  <c r="T247" i="7" s="1"/>
  <c r="V246" i="7"/>
  <c r="U246" i="7"/>
  <c r="S246" i="7"/>
  <c r="T246" i="7" s="1"/>
  <c r="U245" i="7"/>
  <c r="V245" i="7" s="1"/>
  <c r="T245" i="7"/>
  <c r="S245" i="7"/>
  <c r="U244" i="7"/>
  <c r="V244" i="7" s="1"/>
  <c r="S244" i="7"/>
  <c r="T244" i="7" s="1"/>
  <c r="V243" i="7"/>
  <c r="U243" i="7"/>
  <c r="S243" i="7"/>
  <c r="T243" i="7" s="1"/>
  <c r="S242" i="7"/>
  <c r="T242" i="7" s="1"/>
  <c r="T241" i="7"/>
  <c r="S241" i="7"/>
  <c r="U240" i="7"/>
  <c r="V240" i="7" s="1"/>
  <c r="S240" i="7"/>
  <c r="T240" i="7" s="1"/>
  <c r="T239" i="7"/>
  <c r="S239" i="7"/>
  <c r="U238" i="7"/>
  <c r="V238" i="7" s="1"/>
  <c r="S238" i="7"/>
  <c r="T238" i="7" s="1"/>
  <c r="V237" i="7"/>
  <c r="U237" i="7"/>
  <c r="S237" i="7"/>
  <c r="T237" i="7" s="1"/>
  <c r="S236" i="7"/>
  <c r="T236" i="7" s="1"/>
  <c r="V235" i="7"/>
  <c r="U235" i="7"/>
  <c r="S235" i="7"/>
  <c r="T235" i="7" s="1"/>
  <c r="U234" i="7"/>
  <c r="V234" i="7" s="1"/>
  <c r="T234" i="7"/>
  <c r="S234" i="7"/>
  <c r="S233" i="7"/>
  <c r="T233" i="7" s="1"/>
  <c r="U232" i="7"/>
  <c r="V232" i="7" s="1"/>
  <c r="T232" i="7"/>
  <c r="S232" i="7"/>
  <c r="U231" i="7"/>
  <c r="V231" i="7" s="1"/>
  <c r="S231" i="7"/>
  <c r="T231" i="7" s="1"/>
  <c r="T230" i="7"/>
  <c r="S230" i="7"/>
  <c r="S229" i="7"/>
  <c r="T229" i="7" s="1"/>
  <c r="U228" i="7"/>
  <c r="V228" i="7" s="1"/>
  <c r="T228" i="7"/>
  <c r="S228" i="7"/>
  <c r="S227" i="7"/>
  <c r="T227" i="7" s="1"/>
  <c r="U226" i="7"/>
  <c r="V226" i="7" s="1"/>
  <c r="T226" i="7"/>
  <c r="S226" i="7"/>
  <c r="U225" i="7"/>
  <c r="V225" i="7" s="1"/>
  <c r="S225" i="7"/>
  <c r="T225" i="7" s="1"/>
  <c r="V224" i="7"/>
  <c r="U224" i="7"/>
  <c r="S224" i="7"/>
  <c r="T224" i="7" s="1"/>
  <c r="S223" i="7"/>
  <c r="T223" i="7" s="1"/>
  <c r="V222" i="7"/>
  <c r="U222" i="7"/>
  <c r="S222" i="7"/>
  <c r="T222" i="7" s="1"/>
  <c r="U221" i="7"/>
  <c r="V221" i="7" s="1"/>
  <c r="T221" i="7"/>
  <c r="S221" i="7"/>
  <c r="S220" i="7"/>
  <c r="T220" i="7" s="1"/>
  <c r="S219" i="7"/>
  <c r="T219" i="7" s="1"/>
  <c r="V218" i="7"/>
  <c r="U218" i="7"/>
  <c r="S218" i="7"/>
  <c r="T218" i="7" s="1"/>
  <c r="S217" i="7"/>
  <c r="T217" i="7" s="1"/>
  <c r="V216" i="7"/>
  <c r="U216" i="7"/>
  <c r="S216" i="7"/>
  <c r="T216" i="7" s="1"/>
  <c r="U215" i="7"/>
  <c r="V215" i="7" s="1"/>
  <c r="T215" i="7"/>
  <c r="S215" i="7"/>
  <c r="S214" i="7"/>
  <c r="T214" i="7" s="1"/>
  <c r="S213" i="7"/>
  <c r="T213" i="7" s="1"/>
  <c r="T212" i="7"/>
  <c r="S212" i="7"/>
  <c r="S211" i="7"/>
  <c r="T211" i="7" s="1"/>
  <c r="S210" i="7"/>
  <c r="T210" i="7" s="1"/>
  <c r="T209" i="7"/>
  <c r="S209" i="7"/>
  <c r="S208" i="7"/>
  <c r="T208" i="7" s="1"/>
  <c r="U207" i="7"/>
  <c r="V207" i="7" s="1"/>
  <c r="T207" i="7"/>
  <c r="S207" i="7"/>
  <c r="U206" i="7"/>
  <c r="V206" i="7" s="1"/>
  <c r="S206" i="7"/>
  <c r="T206" i="7" s="1"/>
  <c r="V205" i="7"/>
  <c r="U205" i="7"/>
  <c r="S205" i="7"/>
  <c r="T205" i="7" s="1"/>
  <c r="U204" i="7"/>
  <c r="V204" i="7" s="1"/>
  <c r="T204" i="7"/>
  <c r="S204" i="7"/>
  <c r="S203" i="7"/>
  <c r="T203" i="7" s="1"/>
  <c r="U202" i="7"/>
  <c r="V202" i="7" s="1"/>
  <c r="T202" i="7"/>
  <c r="S202" i="7"/>
  <c r="S201" i="7"/>
  <c r="T201" i="7" s="1"/>
  <c r="U200" i="7"/>
  <c r="V200" i="7" s="1"/>
  <c r="T200" i="7"/>
  <c r="S200" i="7"/>
  <c r="S199" i="7"/>
  <c r="T199" i="7" s="1"/>
  <c r="S198" i="7"/>
  <c r="T198" i="7" s="1"/>
  <c r="T197" i="7"/>
  <c r="S197" i="7"/>
  <c r="S196" i="7"/>
  <c r="T196" i="7" s="1"/>
  <c r="S195" i="7"/>
  <c r="T195" i="7" s="1"/>
  <c r="V194" i="7"/>
  <c r="U194" i="7"/>
  <c r="S194" i="7"/>
  <c r="T194" i="7" s="1"/>
  <c r="U193" i="7"/>
  <c r="V193" i="7" s="1"/>
  <c r="T193" i="7"/>
  <c r="S193" i="7"/>
  <c r="S192" i="7"/>
  <c r="T192" i="7" s="1"/>
  <c r="U191" i="7"/>
  <c r="V191" i="7" s="1"/>
  <c r="T191" i="7"/>
  <c r="S191" i="7"/>
  <c r="S190" i="7"/>
  <c r="T190" i="7" s="1"/>
  <c r="U189" i="7"/>
  <c r="V189" i="7" s="1"/>
  <c r="T189" i="7"/>
  <c r="S189" i="7"/>
  <c r="U188" i="7"/>
  <c r="V188" i="7" s="1"/>
  <c r="S188" i="7"/>
  <c r="T188" i="7" s="1"/>
  <c r="V187" i="7"/>
  <c r="U187" i="7"/>
  <c r="S187" i="7"/>
  <c r="T187" i="7" s="1"/>
  <c r="U186" i="7"/>
  <c r="V186" i="7" s="1"/>
  <c r="T186" i="7"/>
  <c r="S186" i="7"/>
  <c r="U185" i="7"/>
  <c r="V185" i="7" s="1"/>
  <c r="S185" i="7"/>
  <c r="T185" i="7" s="1"/>
  <c r="T184" i="7"/>
  <c r="S184" i="7"/>
  <c r="S183" i="7"/>
  <c r="T183" i="7" s="1"/>
  <c r="U182" i="7"/>
  <c r="V182" i="7" s="1"/>
  <c r="T182" i="7"/>
  <c r="S182" i="7"/>
  <c r="S181" i="7"/>
  <c r="T181" i="7" s="1"/>
  <c r="S180" i="7"/>
  <c r="T180" i="7" s="1"/>
  <c r="T179" i="7"/>
  <c r="S179" i="7"/>
  <c r="U178" i="7"/>
  <c r="V178" i="7" s="1"/>
  <c r="S178" i="7"/>
  <c r="T178" i="7" s="1"/>
  <c r="V177" i="7"/>
  <c r="U177" i="7"/>
  <c r="S177" i="7"/>
  <c r="T177" i="7" s="1"/>
  <c r="U176" i="7"/>
  <c r="V176" i="7" s="1"/>
  <c r="T176" i="7"/>
  <c r="S176" i="7"/>
  <c r="S175" i="7"/>
  <c r="T175" i="7" s="1"/>
  <c r="S174" i="7"/>
  <c r="T174" i="7" s="1"/>
  <c r="T173" i="7"/>
  <c r="S173" i="7"/>
  <c r="U172" i="7"/>
  <c r="V172" i="7" s="1"/>
  <c r="S172" i="7"/>
  <c r="T172" i="7" s="1"/>
  <c r="V171" i="7"/>
  <c r="U171" i="7"/>
  <c r="S171" i="7"/>
  <c r="T171" i="7" s="1"/>
  <c r="U170" i="7"/>
  <c r="V170" i="7" s="1"/>
  <c r="T170" i="7"/>
  <c r="S170" i="7"/>
  <c r="U169" i="7"/>
  <c r="V169" i="7" s="1"/>
  <c r="S169" i="7"/>
  <c r="T169" i="7" s="1"/>
  <c r="V168" i="7"/>
  <c r="U168" i="7"/>
  <c r="S168" i="7"/>
  <c r="T168" i="7" s="1"/>
  <c r="U167" i="7"/>
  <c r="V167" i="7" s="1"/>
  <c r="T167" i="7"/>
  <c r="S167" i="7"/>
  <c r="U166" i="7"/>
  <c r="V166" i="7" s="1"/>
  <c r="S166" i="7"/>
  <c r="T166" i="7" s="1"/>
  <c r="T165" i="7"/>
  <c r="S165" i="7"/>
  <c r="U164" i="7"/>
  <c r="V164" i="7" s="1"/>
  <c r="S164" i="7"/>
  <c r="T164" i="7" s="1"/>
  <c r="V163" i="7"/>
  <c r="U163" i="7"/>
  <c r="S163" i="7"/>
  <c r="T163" i="7" s="1"/>
  <c r="S162" i="7"/>
  <c r="T162" i="7" s="1"/>
  <c r="V161" i="7"/>
  <c r="U161" i="7"/>
  <c r="S161" i="7"/>
  <c r="T161" i="7" s="1"/>
  <c r="S160" i="7"/>
  <c r="T160" i="7" s="1"/>
  <c r="T159" i="7"/>
  <c r="S159" i="7"/>
  <c r="U158" i="7"/>
  <c r="V158" i="7" s="1"/>
  <c r="S158" i="7"/>
  <c r="T158" i="7" s="1"/>
  <c r="V157" i="7"/>
  <c r="U157" i="7"/>
  <c r="S157" i="7"/>
  <c r="T157" i="7" s="1"/>
  <c r="U156" i="7"/>
  <c r="V156" i="7" s="1"/>
  <c r="T156" i="7"/>
  <c r="S156" i="7"/>
  <c r="S155" i="7"/>
  <c r="T155" i="7" s="1"/>
  <c r="U154" i="7"/>
  <c r="V154" i="7" s="1"/>
  <c r="T154" i="7"/>
  <c r="S154" i="7"/>
  <c r="S153" i="7"/>
  <c r="T153" i="7" s="1"/>
  <c r="S152" i="7"/>
  <c r="T152" i="7" s="1"/>
  <c r="T151" i="7"/>
  <c r="S151" i="7"/>
  <c r="U150" i="7"/>
  <c r="V150" i="7" s="1"/>
  <c r="S150" i="7"/>
  <c r="T150" i="7" s="1"/>
  <c r="V149" i="7"/>
  <c r="U149" i="7"/>
  <c r="S149" i="7"/>
  <c r="T149" i="7" s="1"/>
  <c r="S148" i="7"/>
  <c r="T148" i="7" s="1"/>
  <c r="V147" i="7"/>
  <c r="U147" i="7"/>
  <c r="S147" i="7"/>
  <c r="T147" i="7" s="1"/>
  <c r="U146" i="7"/>
  <c r="V146" i="7" s="1"/>
  <c r="T146" i="7"/>
  <c r="S146" i="7"/>
  <c r="S145" i="7"/>
  <c r="T145" i="7" s="1"/>
  <c r="U144" i="7"/>
  <c r="V144" i="7" s="1"/>
  <c r="T144" i="7"/>
  <c r="S144" i="7"/>
  <c r="S143" i="7"/>
  <c r="T143" i="7" s="1"/>
  <c r="U142" i="7"/>
  <c r="V142" i="7" s="1"/>
  <c r="T142" i="7"/>
  <c r="S142" i="7"/>
  <c r="U141" i="7"/>
  <c r="V141" i="7" s="1"/>
  <c r="S141" i="7"/>
  <c r="T141" i="7" s="1"/>
  <c r="V140" i="7"/>
  <c r="U140" i="7"/>
  <c r="S140" i="7"/>
  <c r="T140" i="7" s="1"/>
  <c r="S139" i="7"/>
  <c r="T139" i="7" s="1"/>
  <c r="T138" i="7"/>
  <c r="S138" i="7"/>
  <c r="U137" i="7"/>
  <c r="V137" i="7" s="1"/>
  <c r="S137" i="7"/>
  <c r="T137" i="7" s="1"/>
  <c r="T136" i="7"/>
  <c r="S136" i="7"/>
  <c r="U135" i="7"/>
  <c r="V135" i="7" s="1"/>
  <c r="S135" i="7"/>
  <c r="T135" i="7" s="1"/>
  <c r="T134" i="7"/>
  <c r="S134" i="7"/>
  <c r="U133" i="7"/>
  <c r="V133" i="7" s="1"/>
  <c r="S133" i="7"/>
  <c r="T133" i="7" s="1"/>
  <c r="V132" i="7"/>
  <c r="U132" i="7"/>
  <c r="S132" i="7"/>
  <c r="T132" i="7" s="1"/>
  <c r="S131" i="7"/>
  <c r="T131" i="7" s="1"/>
  <c r="V130" i="7"/>
  <c r="U130" i="7"/>
  <c r="S130" i="7"/>
  <c r="T130" i="7" s="1"/>
  <c r="S129" i="7"/>
  <c r="T129" i="7" s="1"/>
  <c r="T128" i="7"/>
  <c r="S128" i="7"/>
  <c r="U127" i="7"/>
  <c r="V127" i="7" s="1"/>
  <c r="S127" i="7"/>
  <c r="T127" i="7" s="1"/>
  <c r="V126" i="7"/>
  <c r="U126" i="7"/>
  <c r="S126" i="7"/>
  <c r="T126" i="7" s="1"/>
  <c r="S125" i="7"/>
  <c r="T125" i="7" s="1"/>
  <c r="T124" i="7"/>
  <c r="S124" i="7"/>
  <c r="S123" i="7"/>
  <c r="T123" i="7" s="1"/>
  <c r="U122" i="7"/>
  <c r="V122" i="7" s="1"/>
  <c r="T122" i="7"/>
  <c r="S122" i="7"/>
  <c r="S121" i="7"/>
  <c r="T121" i="7" s="1"/>
  <c r="S120" i="7"/>
  <c r="T120" i="7" s="1"/>
  <c r="T119" i="7"/>
  <c r="S119" i="7"/>
  <c r="S118" i="7"/>
  <c r="T118" i="7" s="1"/>
  <c r="S117" i="7"/>
  <c r="T117" i="7" s="1"/>
  <c r="V116" i="7"/>
  <c r="U116" i="7"/>
  <c r="S116" i="7"/>
  <c r="T116" i="7" s="1"/>
  <c r="U115" i="7"/>
  <c r="V115" i="7" s="1"/>
  <c r="T115" i="7"/>
  <c r="S115" i="7"/>
  <c r="U114" i="7"/>
  <c r="V114" i="7" s="1"/>
  <c r="S114" i="7"/>
  <c r="T114" i="7" s="1"/>
  <c r="V113" i="7"/>
  <c r="U113" i="7"/>
  <c r="S113" i="7"/>
  <c r="T113" i="7" s="1"/>
  <c r="U112" i="7"/>
  <c r="V112" i="7" s="1"/>
  <c r="T112" i="7"/>
  <c r="S112" i="7"/>
  <c r="S111" i="7"/>
  <c r="T111" i="7" s="1"/>
  <c r="U110" i="7"/>
  <c r="V110" i="7" s="1"/>
  <c r="T110" i="7"/>
  <c r="S110" i="7"/>
  <c r="U109" i="7"/>
  <c r="V109" i="7" s="1"/>
  <c r="S109" i="7"/>
  <c r="T109" i="7" s="1"/>
  <c r="V108" i="7"/>
  <c r="U108" i="7"/>
  <c r="S108" i="7"/>
  <c r="T108" i="7" s="1"/>
  <c r="S107" i="7"/>
  <c r="T107" i="7" s="1"/>
  <c r="V106" i="7"/>
  <c r="U106" i="7"/>
  <c r="S106" i="7"/>
  <c r="T106" i="7" s="1"/>
  <c r="U105" i="7"/>
  <c r="V105" i="7" s="1"/>
  <c r="T105" i="7"/>
  <c r="S105" i="7"/>
  <c r="U104" i="7"/>
  <c r="V104" i="7" s="1"/>
  <c r="S104" i="7"/>
  <c r="T104" i="7" s="1"/>
  <c r="V103" i="7"/>
  <c r="U103" i="7"/>
  <c r="S103" i="7"/>
  <c r="T103" i="7" s="1"/>
  <c r="U102" i="7"/>
  <c r="V102" i="7" s="1"/>
  <c r="T102" i="7"/>
  <c r="S102" i="7"/>
  <c r="U101" i="7"/>
  <c r="V101" i="7" s="1"/>
  <c r="S101" i="7"/>
  <c r="T101" i="7" s="1"/>
  <c r="V100" i="7"/>
  <c r="U100" i="7"/>
  <c r="S100" i="7"/>
  <c r="T100" i="7" s="1"/>
  <c r="S99" i="7"/>
  <c r="T99" i="7" s="1"/>
  <c r="T98" i="7"/>
  <c r="S98" i="7"/>
  <c r="S97" i="7"/>
  <c r="T97" i="7" s="1"/>
  <c r="S96" i="7"/>
  <c r="T96" i="7" s="1"/>
  <c r="T95" i="7"/>
  <c r="S95" i="7"/>
  <c r="U94" i="7"/>
  <c r="V94" i="7" s="1"/>
  <c r="S94" i="7"/>
  <c r="T94" i="7" s="1"/>
  <c r="S93" i="7"/>
  <c r="T93" i="7" s="1"/>
  <c r="U92" i="7"/>
  <c r="V92" i="7" s="1"/>
  <c r="S92" i="7"/>
  <c r="T92" i="7" s="1"/>
  <c r="U91" i="7"/>
  <c r="V91" i="7" s="1"/>
  <c r="S91" i="7"/>
  <c r="T91" i="7" s="1"/>
  <c r="V90" i="7"/>
  <c r="S90" i="7"/>
  <c r="T90" i="7" s="1"/>
  <c r="T89" i="7"/>
  <c r="S89" i="7"/>
  <c r="V88" i="7"/>
  <c r="U88" i="7"/>
  <c r="T88" i="7"/>
  <c r="S88" i="7"/>
  <c r="V87" i="7"/>
  <c r="U87" i="7"/>
  <c r="T87" i="7"/>
  <c r="S87" i="7"/>
  <c r="U86" i="7"/>
  <c r="V86" i="7" s="1"/>
  <c r="T86" i="7"/>
  <c r="S86" i="7"/>
  <c r="V85" i="7"/>
  <c r="U85" i="7"/>
  <c r="T85" i="7"/>
  <c r="S85" i="7"/>
  <c r="V84" i="7"/>
  <c r="U84" i="7"/>
  <c r="T84" i="7"/>
  <c r="S84" i="7"/>
  <c r="U83" i="7"/>
  <c r="V83" i="7" s="1"/>
  <c r="T83" i="7"/>
  <c r="S83" i="7"/>
  <c r="T82" i="7"/>
  <c r="S82" i="7"/>
  <c r="T81" i="7"/>
  <c r="S81" i="7"/>
  <c r="T80" i="7"/>
  <c r="S80" i="7"/>
  <c r="T79" i="7"/>
  <c r="S79" i="7"/>
  <c r="U78" i="7"/>
  <c r="V78" i="7" s="1"/>
  <c r="T78" i="7"/>
  <c r="S78" i="7"/>
  <c r="V77" i="7"/>
  <c r="U77" i="7"/>
  <c r="T77" i="7"/>
  <c r="S77" i="7"/>
  <c r="T76" i="7"/>
  <c r="S76" i="7"/>
  <c r="T75" i="7"/>
  <c r="S75" i="7"/>
  <c r="S74" i="7"/>
  <c r="T74" i="7" s="1"/>
  <c r="V73" i="7"/>
  <c r="U73" i="7"/>
  <c r="T73" i="7"/>
  <c r="S73" i="7"/>
  <c r="T72" i="7"/>
  <c r="S72" i="7"/>
  <c r="T71" i="7"/>
  <c r="S71" i="7"/>
  <c r="T70" i="7"/>
  <c r="S70" i="7"/>
  <c r="U69" i="7"/>
  <c r="V69" i="7" s="1"/>
  <c r="T69" i="7"/>
  <c r="S69" i="7"/>
  <c r="T68" i="7"/>
  <c r="S68" i="7"/>
  <c r="V67" i="7"/>
  <c r="U67" i="7"/>
  <c r="T67" i="7"/>
  <c r="S67" i="7"/>
  <c r="V66" i="7"/>
  <c r="U66" i="7"/>
  <c r="S66" i="7"/>
  <c r="T66" i="7" s="1"/>
  <c r="V65" i="7"/>
  <c r="U65" i="7"/>
  <c r="T65" i="7"/>
  <c r="S65" i="7"/>
  <c r="V64" i="7"/>
  <c r="U64" i="7"/>
  <c r="T64" i="7"/>
  <c r="S64" i="7"/>
  <c r="V63" i="7"/>
  <c r="U63" i="7"/>
  <c r="S63" i="7"/>
  <c r="T63" i="7" s="1"/>
  <c r="T62" i="7"/>
  <c r="S62" i="7"/>
  <c r="T61" i="7"/>
  <c r="S61" i="7"/>
  <c r="V60" i="7"/>
  <c r="U60" i="7"/>
  <c r="T60" i="7"/>
  <c r="S60" i="7"/>
  <c r="V59" i="7"/>
  <c r="U59" i="7"/>
  <c r="S59" i="7"/>
  <c r="T59" i="7" s="1"/>
  <c r="V58" i="7"/>
  <c r="U58" i="7"/>
  <c r="T58" i="7"/>
  <c r="S58" i="7"/>
  <c r="V57" i="7"/>
  <c r="U57" i="7"/>
  <c r="T57" i="7"/>
  <c r="S57" i="7"/>
  <c r="V56" i="7"/>
  <c r="U56" i="7"/>
  <c r="S56" i="7"/>
  <c r="T56" i="7" s="1"/>
  <c r="V55" i="7"/>
  <c r="U55" i="7"/>
  <c r="T55" i="7"/>
  <c r="S55" i="7"/>
  <c r="V54" i="7"/>
  <c r="U54" i="7"/>
  <c r="T54" i="7"/>
  <c r="S54" i="7"/>
  <c r="V53" i="7"/>
  <c r="U53" i="7"/>
  <c r="S53" i="7"/>
  <c r="T53" i="7" s="1"/>
  <c r="V52" i="7"/>
  <c r="U52" i="7"/>
  <c r="T52" i="7"/>
  <c r="S52" i="7"/>
  <c r="T51" i="7"/>
  <c r="S51" i="7"/>
  <c r="T50" i="7"/>
  <c r="S50" i="7"/>
  <c r="T49" i="7"/>
  <c r="S49" i="7"/>
  <c r="S48" i="7"/>
  <c r="T48" i="7" s="1"/>
  <c r="V47" i="7"/>
  <c r="U47" i="7"/>
  <c r="T47" i="7"/>
  <c r="S47" i="7"/>
  <c r="V46" i="7"/>
  <c r="U46" i="7"/>
  <c r="T46" i="7"/>
  <c r="S46" i="7"/>
  <c r="T45" i="7"/>
  <c r="S45" i="7"/>
  <c r="S44" i="7"/>
  <c r="T44" i="7" s="1"/>
  <c r="T43" i="7"/>
  <c r="S43" i="7"/>
  <c r="V42" i="7"/>
  <c r="U42" i="7"/>
  <c r="T42" i="7"/>
  <c r="S42" i="7"/>
  <c r="V41" i="7"/>
  <c r="U41" i="7"/>
  <c r="T41" i="7"/>
  <c r="S41" i="7"/>
  <c r="U40" i="7"/>
  <c r="V40" i="7" s="1"/>
  <c r="T40" i="7"/>
  <c r="S40" i="7"/>
  <c r="V39" i="7"/>
  <c r="U39" i="7"/>
  <c r="T39" i="7"/>
  <c r="S39" i="7"/>
  <c r="T38" i="7"/>
  <c r="S38" i="7"/>
  <c r="V37" i="7"/>
  <c r="U37" i="7"/>
  <c r="S37" i="7"/>
  <c r="T37" i="7" s="1"/>
  <c r="V36" i="7"/>
  <c r="U36" i="7"/>
  <c r="T36" i="7"/>
  <c r="S36" i="7"/>
  <c r="V35" i="7"/>
  <c r="U35" i="7"/>
  <c r="T35" i="7"/>
  <c r="S35" i="7"/>
  <c r="V34" i="7"/>
  <c r="U34" i="7"/>
  <c r="S34" i="7"/>
  <c r="T34" i="7" s="1"/>
  <c r="V33" i="7"/>
  <c r="U33" i="7"/>
  <c r="T33" i="7"/>
  <c r="S33" i="7"/>
  <c r="T32" i="7"/>
  <c r="S32" i="7"/>
  <c r="T31" i="7"/>
  <c r="S31" i="7"/>
  <c r="T30" i="7"/>
  <c r="S30" i="7"/>
  <c r="U29" i="7"/>
  <c r="V29" i="7" s="1"/>
  <c r="T29" i="7"/>
  <c r="S29" i="7"/>
  <c r="V28" i="7"/>
  <c r="U28" i="7"/>
  <c r="T28" i="7"/>
  <c r="S28" i="7"/>
  <c r="V27" i="7"/>
  <c r="U27" i="7"/>
  <c r="T27" i="7"/>
  <c r="S27" i="7"/>
  <c r="U26" i="7"/>
  <c r="V26" i="7" s="1"/>
  <c r="T26" i="7"/>
  <c r="S26" i="7"/>
  <c r="V25" i="7"/>
  <c r="U25" i="7"/>
  <c r="T25" i="7"/>
  <c r="S25" i="7"/>
  <c r="V24" i="7"/>
  <c r="U24" i="7"/>
  <c r="T24" i="7"/>
  <c r="S24" i="7"/>
  <c r="U23" i="7"/>
  <c r="V23" i="7" s="1"/>
  <c r="T23" i="7"/>
  <c r="S23" i="7"/>
  <c r="T22" i="7"/>
  <c r="S22" i="7"/>
  <c r="T21" i="7"/>
  <c r="S21" i="7"/>
  <c r="V20" i="7"/>
  <c r="U20" i="7"/>
  <c r="T20" i="7"/>
  <c r="S20" i="7"/>
  <c r="S19" i="7"/>
  <c r="T19" i="7" s="1"/>
  <c r="T18" i="7"/>
  <c r="S18" i="7"/>
  <c r="T17" i="7"/>
  <c r="S17" i="7"/>
  <c r="T16" i="7"/>
  <c r="S16" i="7"/>
  <c r="V15" i="7"/>
  <c r="U15" i="7"/>
  <c r="T15" i="7"/>
  <c r="S15" i="7"/>
  <c r="U14" i="7"/>
  <c r="V14" i="7" s="1"/>
  <c r="T14" i="7"/>
  <c r="S14" i="7"/>
  <c r="T13" i="7"/>
  <c r="S13" i="7"/>
  <c r="V12" i="7"/>
  <c r="U12" i="7"/>
  <c r="T12" i="7"/>
  <c r="S12" i="7"/>
  <c r="T11" i="7"/>
  <c r="S11" i="7"/>
  <c r="U10" i="7"/>
  <c r="V10" i="7" s="1"/>
  <c r="T10" i="7"/>
  <c r="S10" i="7"/>
  <c r="T9" i="7"/>
  <c r="S9" i="7"/>
  <c r="T8" i="7"/>
  <c r="S8" i="7"/>
</calcChain>
</file>

<file path=xl/sharedStrings.xml><?xml version="1.0" encoding="utf-8"?>
<sst xmlns="http://schemas.openxmlformats.org/spreadsheetml/2006/main" count="3192" uniqueCount="1341">
  <si>
    <t>№ Dispozitiei</t>
  </si>
  <si>
    <t>№ Autorizatiei</t>
  </si>
  <si>
    <t>Instalatia</t>
  </si>
  <si>
    <t>PT</t>
  </si>
  <si>
    <t>Sef de lucrari sau supraveghetor (familia, numele)</t>
  </si>
  <si>
    <t>Membrii echipei ce lucreaza pe dispozitie (familia, numele)</t>
  </si>
  <si>
    <t>Persoana care a emis autorizatia (dispoziție) (familia,numele,data)</t>
  </si>
  <si>
    <t>№ Fider</t>
  </si>
  <si>
    <t>Starea</t>
  </si>
  <si>
    <t>UN</t>
  </si>
  <si>
    <t>ID 0,4kV</t>
  </si>
  <si>
    <t>PT18PD2 1</t>
  </si>
  <si>
    <t>PT29UN17</t>
  </si>
  <si>
    <t>Lucrarile efectuate</t>
  </si>
  <si>
    <t>Curatirea traseului</t>
  </si>
  <si>
    <t>Lucrari de mentenanta</t>
  </si>
  <si>
    <t>Montarea pilon(pilonilor)</t>
  </si>
  <si>
    <t>Demontarea pilon(pilonilor)</t>
  </si>
  <si>
    <t>Montarea bransamentelor</t>
  </si>
  <si>
    <t>Strunirea conductorului</t>
  </si>
  <si>
    <t>Lucrai utilaj de evidenta</t>
  </si>
  <si>
    <t>Bloc locativ</t>
  </si>
  <si>
    <t>FL</t>
  </si>
  <si>
    <t>Oficiul</t>
  </si>
  <si>
    <t>GL</t>
  </si>
  <si>
    <t>RS</t>
  </si>
  <si>
    <t>LEA 0,4kV</t>
  </si>
  <si>
    <t>Angajati RED-Nord</t>
  </si>
  <si>
    <t>Nou inregistrata</t>
  </si>
  <si>
    <t>Echipa admisa</t>
  </si>
  <si>
    <t>Lucrarile s-au terminat</t>
  </si>
  <si>
    <t>Lucrarile nu s-au efectuat</t>
  </si>
  <si>
    <t>Nr. Fider</t>
  </si>
  <si>
    <t>Boolean</t>
  </si>
  <si>
    <t>R E G I S T R U Ingregistrarilor lucrarilor prin autorizatii si dispozitii Oficiile UN, FL, GL, RS</t>
  </si>
  <si>
    <t>Da</t>
  </si>
  <si>
    <t>Nu</t>
  </si>
  <si>
    <t>Localitatea, adresa</t>
  </si>
  <si>
    <t>3</t>
  </si>
  <si>
    <t xml:space="preserve">Brinza V.   gr. 5 </t>
  </si>
  <si>
    <t>Buga V.   gr. 5</t>
  </si>
  <si>
    <t>Diaconescu V.   gr. 5</t>
  </si>
  <si>
    <t>Linnic A. gr. 5</t>
  </si>
  <si>
    <t>Lupuşoru O.   gr. 5</t>
  </si>
  <si>
    <t>Postanciuc A.   gr. 5</t>
  </si>
  <si>
    <t>Tîrsînă M.   gr. 5</t>
  </si>
  <si>
    <t>Noni P.   gr. 5</t>
  </si>
  <si>
    <t>Nistor A.   gr. 5</t>
  </si>
  <si>
    <t>Grubii V.   gr. 5</t>
  </si>
  <si>
    <t>Cirlan V.   gr. 5</t>
  </si>
  <si>
    <t>Capatinta D.   gr. 5</t>
  </si>
  <si>
    <t>Cat M.   gr. 5</t>
  </si>
  <si>
    <t>Bulibaş I.   gr. 5</t>
  </si>
  <si>
    <t>Atamaniuc R.    gr. 5</t>
  </si>
  <si>
    <t>Andruşenco V.   gr. 5</t>
  </si>
  <si>
    <t>Svitic G.   gr. 5</t>
  </si>
  <si>
    <t>Cebotari I.   gr. 4</t>
  </si>
  <si>
    <t>Gîncu V.   gr. 4</t>
  </si>
  <si>
    <t>Cojocari V.   gr. 4</t>
  </si>
  <si>
    <t>Godea S.   gr. 4</t>
  </si>
  <si>
    <t>Lazariuc I.   gr. 4</t>
  </si>
  <si>
    <t>Zatolocenoi I.   gr. 4</t>
  </si>
  <si>
    <t>Ungureanu V.   gr. 4</t>
  </si>
  <si>
    <t>Gutul M.   gr. 4</t>
  </si>
  <si>
    <t>Cerepita G.   gr. 4</t>
  </si>
  <si>
    <t>Ochinciuc R.   gr. 4</t>
  </si>
  <si>
    <t>Moraru G.   gr. 4</t>
  </si>
  <si>
    <t>Romanenco N.   gr. 4</t>
  </si>
  <si>
    <t>Rotaru V.   gr. 4</t>
  </si>
  <si>
    <t>Zubriţchi N.   gr. 4</t>
  </si>
  <si>
    <t>Chirinciuc D.   gr. 4</t>
  </si>
  <si>
    <t>Levcusa V.   Gr.4</t>
  </si>
  <si>
    <t>Montarea prizei la pamint</t>
  </si>
  <si>
    <t>LC 0,4kV</t>
  </si>
  <si>
    <t>Tataru G.   gr. 4</t>
  </si>
  <si>
    <t>Caluzneac I.   gr. 4</t>
  </si>
  <si>
    <t>PD1UN30</t>
  </si>
  <si>
    <t>PT1UN26</t>
  </si>
  <si>
    <t>PT2UN26</t>
  </si>
  <si>
    <t>PT6UN30</t>
  </si>
  <si>
    <t>PT7UN30</t>
  </si>
  <si>
    <t>PT8PD2 9</t>
  </si>
  <si>
    <t>PT10PD2 9</t>
  </si>
  <si>
    <t>PT12UN26</t>
  </si>
  <si>
    <t>PT17UN30</t>
  </si>
  <si>
    <t>str.M.Viteazu</t>
  </si>
  <si>
    <t>PT25UN26</t>
  </si>
  <si>
    <t>PT28UN30</t>
  </si>
  <si>
    <t>PT30UN20</t>
  </si>
  <si>
    <t>PT32UN26</t>
  </si>
  <si>
    <t>PT33UN30</t>
  </si>
  <si>
    <t>PT35UN17</t>
  </si>
  <si>
    <t>PT39UN30</t>
  </si>
  <si>
    <t>PT41PD2 1</t>
  </si>
  <si>
    <t>PT45UN23</t>
  </si>
  <si>
    <t>PT47UN30</t>
  </si>
  <si>
    <t>PT49UN13</t>
  </si>
  <si>
    <t>PT55UN20</t>
  </si>
  <si>
    <t>PT61PD2 5</t>
  </si>
  <si>
    <t>PT68UN30</t>
  </si>
  <si>
    <t>PT72UN30</t>
  </si>
  <si>
    <t>PT73UN30</t>
  </si>
  <si>
    <t>PT74UN23</t>
  </si>
  <si>
    <t>PT76UN20</t>
  </si>
  <si>
    <t>PT77UN30</t>
  </si>
  <si>
    <t>PT79UN17</t>
  </si>
  <si>
    <t>PT82UN1</t>
  </si>
  <si>
    <t>PT83UN1</t>
  </si>
  <si>
    <t>PT84PD2 7</t>
  </si>
  <si>
    <t>PT95UN30</t>
  </si>
  <si>
    <t>PT99UN25</t>
  </si>
  <si>
    <t>PT101UN34</t>
  </si>
  <si>
    <t>PT103UN34</t>
  </si>
  <si>
    <t>PT104UN34</t>
  </si>
  <si>
    <t>PT105UN34</t>
  </si>
  <si>
    <t>PT107CP17</t>
  </si>
  <si>
    <t>PT108CP17</t>
  </si>
  <si>
    <t>PT109CP17</t>
  </si>
  <si>
    <t>PT110CP17</t>
  </si>
  <si>
    <t>PT111CP17</t>
  </si>
  <si>
    <t>PT112CP14</t>
  </si>
  <si>
    <t>PT113CP14</t>
  </si>
  <si>
    <t>PT114PR2</t>
  </si>
  <si>
    <t>PT115PR2</t>
  </si>
  <si>
    <t>PT116PR2</t>
  </si>
  <si>
    <t>PT117PR2</t>
  </si>
  <si>
    <t>PT120VM14</t>
  </si>
  <si>
    <t>PT121VM9</t>
  </si>
  <si>
    <t>PT123VM14</t>
  </si>
  <si>
    <t>PT124VM14</t>
  </si>
  <si>
    <t>PT134VM14</t>
  </si>
  <si>
    <t>PT135CP17</t>
  </si>
  <si>
    <t>PT136VM9</t>
  </si>
  <si>
    <t>PT137VM9</t>
  </si>
  <si>
    <t>PT142VM14</t>
  </si>
  <si>
    <t>PT149UN28</t>
  </si>
  <si>
    <t>PT152VM9</t>
  </si>
  <si>
    <t>PT155CP17</t>
  </si>
  <si>
    <t>PT156VM14</t>
  </si>
  <si>
    <t>PT157VM9</t>
  </si>
  <si>
    <t>PT158PD2 1</t>
  </si>
  <si>
    <t>PT159UN28</t>
  </si>
  <si>
    <t>PT160UN28</t>
  </si>
  <si>
    <t>PT162UN28</t>
  </si>
  <si>
    <t>PT165UN28</t>
  </si>
  <si>
    <t>PT167UN28</t>
  </si>
  <si>
    <t>PT170UN28</t>
  </si>
  <si>
    <t>PT172PR2</t>
  </si>
  <si>
    <t>PT173PR2</t>
  </si>
  <si>
    <t>PT176CP14</t>
  </si>
  <si>
    <t>PT177UN28</t>
  </si>
  <si>
    <t>PT184VM14</t>
  </si>
  <si>
    <t>PT185VM14</t>
  </si>
  <si>
    <t>PT186PD2 1</t>
  </si>
  <si>
    <t>s.Rezina</t>
  </si>
  <si>
    <t>PT187VM14</t>
  </si>
  <si>
    <t>PT188VM14</t>
  </si>
  <si>
    <t>PT189VM14</t>
  </si>
  <si>
    <t>PT190VM14</t>
  </si>
  <si>
    <t>PT191VM14</t>
  </si>
  <si>
    <t>PT193VM14</t>
  </si>
  <si>
    <t>PT194VM14</t>
  </si>
  <si>
    <t>PT196VM9</t>
  </si>
  <si>
    <t>PT200PR2</t>
  </si>
  <si>
    <t>PT201VM9</t>
  </si>
  <si>
    <t>PT206CP14</t>
  </si>
  <si>
    <t>PT207CP17</t>
  </si>
  <si>
    <t>s.Grozasca</t>
  </si>
  <si>
    <t>PT212VM14</t>
  </si>
  <si>
    <t>PT214VM14</t>
  </si>
  <si>
    <t>PT216UN28</t>
  </si>
  <si>
    <t>PT218VM14</t>
  </si>
  <si>
    <t>PT223CP17</t>
  </si>
  <si>
    <t>PT224PR2</t>
  </si>
  <si>
    <t>PT228VM14</t>
  </si>
  <si>
    <t>PT229PD2 1</t>
  </si>
  <si>
    <t>PT230VM14</t>
  </si>
  <si>
    <t>PT231VM14</t>
  </si>
  <si>
    <t>PT232VM14</t>
  </si>
  <si>
    <t>PT233VM14</t>
  </si>
  <si>
    <t>PT234VM14</t>
  </si>
  <si>
    <t>PT235PD2 1</t>
  </si>
  <si>
    <t>s.Manoilesti</t>
  </si>
  <si>
    <t>PT238UN11</t>
  </si>
  <si>
    <t>PT240VM14</t>
  </si>
  <si>
    <t>PT242VM14</t>
  </si>
  <si>
    <t>PT244VM14</t>
  </si>
  <si>
    <t>PT245VM9</t>
  </si>
  <si>
    <t>PT246PR2</t>
  </si>
  <si>
    <t>PT249CP17</t>
  </si>
  <si>
    <t>PT250UN28</t>
  </si>
  <si>
    <t>PT252UN11</t>
  </si>
  <si>
    <t>s.Zagarancea</t>
  </si>
  <si>
    <t>PT253VM14</t>
  </si>
  <si>
    <t>PT254UN11</t>
  </si>
  <si>
    <t>PT258UN11</t>
  </si>
  <si>
    <t>PT262PR2</t>
  </si>
  <si>
    <t>PT267VM9</t>
  </si>
  <si>
    <t>s.Morenii Noi</t>
  </si>
  <si>
    <t>PT268UN34</t>
  </si>
  <si>
    <t>PT275UN34</t>
  </si>
  <si>
    <t>PT280VM14</t>
  </si>
  <si>
    <t>PT282VM14</t>
  </si>
  <si>
    <t>PT283VM14</t>
  </si>
  <si>
    <t>PT285PD2 1</t>
  </si>
  <si>
    <t>PT301CP6</t>
  </si>
  <si>
    <t>PT302CP5</t>
  </si>
  <si>
    <t>PT303CP14</t>
  </si>
  <si>
    <t>PT304GH3</t>
  </si>
  <si>
    <t>PT305GH7</t>
  </si>
  <si>
    <t>PT306GH3</t>
  </si>
  <si>
    <t>PT307CP6</t>
  </si>
  <si>
    <t>PT310CP17</t>
  </si>
  <si>
    <t>PT311CP18</t>
  </si>
  <si>
    <t>PT314CP18</t>
  </si>
  <si>
    <t>PT315CP18</t>
  </si>
  <si>
    <t>PT316CP18</t>
  </si>
  <si>
    <t>PT317CP18</t>
  </si>
  <si>
    <t>PT318GH7</t>
  </si>
  <si>
    <t>PT320GH3</t>
  </si>
  <si>
    <t>PT321GH3</t>
  </si>
  <si>
    <t>PT322CP18</t>
  </si>
  <si>
    <t>PT323CP18</t>
  </si>
  <si>
    <t>PT328CP3</t>
  </si>
  <si>
    <t>PT329CP6</t>
  </si>
  <si>
    <t>PT330CP3</t>
  </si>
  <si>
    <t>PT331GH7</t>
  </si>
  <si>
    <t>PT334CP14</t>
  </si>
  <si>
    <t>PT336CP18</t>
  </si>
  <si>
    <t>PT340CP18</t>
  </si>
  <si>
    <t>PT341CP14</t>
  </si>
  <si>
    <t>s.Floreni</t>
  </si>
  <si>
    <t>PT342CP3</t>
  </si>
  <si>
    <t>PT344CP5</t>
  </si>
  <si>
    <t>PT346CP18</t>
  </si>
  <si>
    <t>PT350CP18</t>
  </si>
  <si>
    <t>PT353CP14</t>
  </si>
  <si>
    <t>PT354CP14</t>
  </si>
  <si>
    <t>PT355CP14</t>
  </si>
  <si>
    <t>PT357GH6</t>
  </si>
  <si>
    <t>PT358GH7</t>
  </si>
  <si>
    <t>PT360CP18</t>
  </si>
  <si>
    <t>PT361DT8</t>
  </si>
  <si>
    <t>s.Cetireni</t>
  </si>
  <si>
    <t>PT362CP17</t>
  </si>
  <si>
    <t>s.Petreşti</t>
  </si>
  <si>
    <t>PT363VM9</t>
  </si>
  <si>
    <t>PT364CP14</t>
  </si>
  <si>
    <t>PT365CP18</t>
  </si>
  <si>
    <t>PT367UN34</t>
  </si>
  <si>
    <t>SA"Consator"</t>
  </si>
  <si>
    <t>AIPRE</t>
  </si>
  <si>
    <t>or.Ungheni</t>
  </si>
  <si>
    <t>PT370CP18</t>
  </si>
  <si>
    <t>PT371CP3</t>
  </si>
  <si>
    <t>PT372CP17</t>
  </si>
  <si>
    <t>PT373CP17</t>
  </si>
  <si>
    <t>PT375CP5</t>
  </si>
  <si>
    <t>PT376CP14</t>
  </si>
  <si>
    <t>PT378GH3</t>
  </si>
  <si>
    <t>PT379GH3</t>
  </si>
  <si>
    <t>PT381UN5</t>
  </si>
  <si>
    <t>PT382CP14</t>
  </si>
  <si>
    <t>PT384CP14</t>
  </si>
  <si>
    <t>PT385GH1</t>
  </si>
  <si>
    <t>PT386GH1</t>
  </si>
  <si>
    <t>PT387GH1</t>
  </si>
  <si>
    <t>PT388GH1</t>
  </si>
  <si>
    <t>PT391UN33</t>
  </si>
  <si>
    <t>PT392PR1</t>
  </si>
  <si>
    <t>PT393GH7</t>
  </si>
  <si>
    <t>PT396CP18</t>
  </si>
  <si>
    <t>PT397CP17</t>
  </si>
  <si>
    <t>PT398PR2</t>
  </si>
  <si>
    <t>PT400CP17</t>
  </si>
  <si>
    <t>PT402DT1</t>
  </si>
  <si>
    <t>PT403CP14</t>
  </si>
  <si>
    <t>PT404GH3</t>
  </si>
  <si>
    <t>s.Sculeni</t>
  </si>
  <si>
    <t>Apele Moldovei</t>
  </si>
  <si>
    <t>PT406CP17</t>
  </si>
  <si>
    <t>PT407CP17</t>
  </si>
  <si>
    <t>PT408GH3</t>
  </si>
  <si>
    <t>PT409CP14</t>
  </si>
  <si>
    <t>PT501CT2</t>
  </si>
  <si>
    <t>PT502CT2</t>
  </si>
  <si>
    <t>PT503CT2</t>
  </si>
  <si>
    <t>PT504CT9</t>
  </si>
  <si>
    <t>PT505CT2</t>
  </si>
  <si>
    <t>PT507CT2</t>
  </si>
  <si>
    <t>PT508PR10</t>
  </si>
  <si>
    <t>PT509PR10</t>
  </si>
  <si>
    <t>PT510PR10</t>
  </si>
  <si>
    <t>PT511PR10</t>
  </si>
  <si>
    <t>PT512CT2</t>
  </si>
  <si>
    <t>PT514CT7</t>
  </si>
  <si>
    <t>PT516CT5</t>
  </si>
  <si>
    <t>PT518PR10</t>
  </si>
  <si>
    <t>PT519PR10</t>
  </si>
  <si>
    <t>PT520PR1</t>
  </si>
  <si>
    <t>PT521PR4</t>
  </si>
  <si>
    <t>PT522PR2</t>
  </si>
  <si>
    <t>PT523PR2</t>
  </si>
  <si>
    <t>PT524PR2</t>
  </si>
  <si>
    <t>PT525PR1</t>
  </si>
  <si>
    <t>PT526PR1</t>
  </si>
  <si>
    <t>PT527PR1</t>
  </si>
  <si>
    <t>PT528PR10</t>
  </si>
  <si>
    <t>PT529PR10</t>
  </si>
  <si>
    <t>PT530PR1</t>
  </si>
  <si>
    <t>PT532PR1</t>
  </si>
  <si>
    <t>PT533PR7</t>
  </si>
  <si>
    <t>PT534PR7</t>
  </si>
  <si>
    <t>PT535CT9</t>
  </si>
  <si>
    <t>PT537PR7</t>
  </si>
  <si>
    <t>PT538PR7</t>
  </si>
  <si>
    <t>PT539PR7</t>
  </si>
  <si>
    <t>PT540PR7</t>
  </si>
  <si>
    <t>PT541PR4</t>
  </si>
  <si>
    <t>PT542PR4</t>
  </si>
  <si>
    <t>PT543CT9</t>
  </si>
  <si>
    <t>PT545CT5</t>
  </si>
  <si>
    <t>PT546PR1</t>
  </si>
  <si>
    <t>PT547PR10</t>
  </si>
  <si>
    <t>PT548PR4</t>
  </si>
  <si>
    <t>PT549PR4</t>
  </si>
  <si>
    <t>PT550PR4</t>
  </si>
  <si>
    <t>PT552CT8</t>
  </si>
  <si>
    <t>PT553PR4</t>
  </si>
  <si>
    <t>CFM</t>
  </si>
  <si>
    <t>PT555CT8</t>
  </si>
  <si>
    <t>PT558CT8</t>
  </si>
  <si>
    <t>PT559CT8</t>
  </si>
  <si>
    <t>PT560CT8</t>
  </si>
  <si>
    <t>PT561CT8</t>
  </si>
  <si>
    <t>PT562CT8</t>
  </si>
  <si>
    <t>PT563CT8</t>
  </si>
  <si>
    <t>PT564CT8</t>
  </si>
  <si>
    <t>s.Condratesti</t>
  </si>
  <si>
    <t>PT565CT8</t>
  </si>
  <si>
    <t>PT567CT8</t>
  </si>
  <si>
    <t>PT568CT1</t>
  </si>
  <si>
    <t>PT569CT8</t>
  </si>
  <si>
    <t>PT570CT8</t>
  </si>
  <si>
    <t>PT574PR7</t>
  </si>
  <si>
    <t>PT575PR10</t>
  </si>
  <si>
    <t>PT576CT2</t>
  </si>
  <si>
    <t>PT577PR1</t>
  </si>
  <si>
    <t>PT578CT2</t>
  </si>
  <si>
    <t>PT579CT8</t>
  </si>
  <si>
    <t>PT580PR4</t>
  </si>
  <si>
    <t>PT581PR4</t>
  </si>
  <si>
    <t>PT583PR1</t>
  </si>
  <si>
    <t>PT584CT8</t>
  </si>
  <si>
    <t>PT585CT5</t>
  </si>
  <si>
    <t>PT587CT7</t>
  </si>
  <si>
    <t>PT588PR10</t>
  </si>
  <si>
    <t>PT589CT8</t>
  </si>
  <si>
    <t>PT593CT8</t>
  </si>
  <si>
    <t>PT595CT7</t>
  </si>
  <si>
    <t>PT597PR1</t>
  </si>
  <si>
    <t>PT598CT2</t>
  </si>
  <si>
    <t>PT600CT7</t>
  </si>
  <si>
    <t>PT601CT7</t>
  </si>
  <si>
    <t>PT603CT8</t>
  </si>
  <si>
    <t>Primaria s.Sinesti</t>
  </si>
  <si>
    <t>s.Sinesti</t>
  </si>
  <si>
    <t>PT604PR4</t>
  </si>
  <si>
    <t>PT605PR4</t>
  </si>
  <si>
    <t>PT607CT9</t>
  </si>
  <si>
    <t>PT608CT9</t>
  </si>
  <si>
    <t>PT609PR4</t>
  </si>
  <si>
    <t>PT610PR4</t>
  </si>
  <si>
    <t>PT611PR4</t>
  </si>
  <si>
    <t>PT614PR4</t>
  </si>
  <si>
    <t>PT616CT8</t>
  </si>
  <si>
    <t>PT617CT9</t>
  </si>
  <si>
    <t>PT618CT5</t>
  </si>
  <si>
    <t>PT620PR1</t>
  </si>
  <si>
    <t>PT621PR10</t>
  </si>
  <si>
    <t>PT622PR1</t>
  </si>
  <si>
    <t>PT624CT8</t>
  </si>
  <si>
    <t>PT626PR10</t>
  </si>
  <si>
    <t>PT627PR10</t>
  </si>
  <si>
    <t>PT628PR4</t>
  </si>
  <si>
    <t>PT629CT8</t>
  </si>
  <si>
    <t>PT630PR10</t>
  </si>
  <si>
    <t>PT631PR7</t>
  </si>
  <si>
    <t>Ocolul silvic</t>
  </si>
  <si>
    <t>PT632CT8</t>
  </si>
  <si>
    <t>PT633CT8</t>
  </si>
  <si>
    <t>s.Hircesti</t>
  </si>
  <si>
    <t>PT634CT2</t>
  </si>
  <si>
    <t>PT635CT5</t>
  </si>
  <si>
    <t>PT637CT2</t>
  </si>
  <si>
    <t>PT638PR7</t>
  </si>
  <si>
    <t>PT639PR4</t>
  </si>
  <si>
    <t>PT644PR4</t>
  </si>
  <si>
    <t>PT645PR10</t>
  </si>
  <si>
    <t>PT647PR7</t>
  </si>
  <si>
    <t>PT648PR7</t>
  </si>
  <si>
    <t>PT649PR7</t>
  </si>
  <si>
    <t>PT651PR10</t>
  </si>
  <si>
    <t>PT652CT5</t>
  </si>
  <si>
    <t>PT654CT5</t>
  </si>
  <si>
    <t>PT655CT2</t>
  </si>
  <si>
    <t>PT656PR4</t>
  </si>
  <si>
    <t>PT658PR10</t>
  </si>
  <si>
    <t>PT659CT8</t>
  </si>
  <si>
    <t>PT660CT8</t>
  </si>
  <si>
    <t>PT662PR4</t>
  </si>
  <si>
    <t>PT664CT8</t>
  </si>
  <si>
    <t>PT665CT8</t>
  </si>
  <si>
    <t>s.Cornova</t>
  </si>
  <si>
    <t>PT667CT8</t>
  </si>
  <si>
    <t>PT668CT2</t>
  </si>
  <si>
    <t>PT669PR4</t>
  </si>
  <si>
    <t>PT670PR10</t>
  </si>
  <si>
    <t>PT671CT8</t>
  </si>
  <si>
    <t>PT672CT8</t>
  </si>
  <si>
    <t>PT673CT2</t>
  </si>
  <si>
    <t>PT675PR4</t>
  </si>
  <si>
    <t>s.Alexeevca</t>
  </si>
  <si>
    <t>PT676CT8</t>
  </si>
  <si>
    <t>PT678PR7</t>
  </si>
  <si>
    <t>PT680CT2</t>
  </si>
  <si>
    <t>PT682CT8</t>
  </si>
  <si>
    <t>PT685CT8</t>
  </si>
  <si>
    <t>PT686PR10</t>
  </si>
  <si>
    <t>PT688PR10</t>
  </si>
  <si>
    <t>PT689PR4</t>
  </si>
  <si>
    <t>PT691CT9</t>
  </si>
  <si>
    <t>PT692PR7</t>
  </si>
  <si>
    <t>s.Pîrliţa</t>
  </si>
  <si>
    <t>PT694PR7</t>
  </si>
  <si>
    <t>PT695PR4</t>
  </si>
  <si>
    <t>PT696CT7</t>
  </si>
  <si>
    <t>PT698CT7</t>
  </si>
  <si>
    <t>PT700CT2</t>
  </si>
  <si>
    <t>s.Boghenii Noi</t>
  </si>
  <si>
    <t>PT702CT7</t>
  </si>
  <si>
    <t>PT703PR4</t>
  </si>
  <si>
    <t>PT705PR10</t>
  </si>
  <si>
    <t>PT709CT8</t>
  </si>
  <si>
    <t>PT710PR7</t>
  </si>
  <si>
    <t>PT711PR10</t>
  </si>
  <si>
    <t>PT712CT8</t>
  </si>
  <si>
    <t>PT714CT9</t>
  </si>
  <si>
    <t>PT716CT5</t>
  </si>
  <si>
    <t>SA"Moldtelecom"</t>
  </si>
  <si>
    <t>s.Romanovca</t>
  </si>
  <si>
    <t>PT717CT5</t>
  </si>
  <si>
    <t>s.Hristoforovca</t>
  </si>
  <si>
    <t>PT718PR10</t>
  </si>
  <si>
    <t>PT724CT8</t>
  </si>
  <si>
    <t>Null</t>
  </si>
  <si>
    <t xml:space="preserve">Raport </t>
  </si>
  <si>
    <t>pe ordonanţa nr. 48 din 12.10.2015</t>
  </si>
  <si>
    <t>Anexa nr.1</t>
  </si>
  <si>
    <t>Denumirea statiunii</t>
  </si>
  <si>
    <t>Secţia</t>
  </si>
  <si>
    <t>Denumirea fiderului 10kV</t>
  </si>
  <si>
    <t>Punct de distributie   /               Celulă de secţionare</t>
  </si>
  <si>
    <t>Fider 10kV</t>
  </si>
  <si>
    <t>PD , PT</t>
  </si>
  <si>
    <t>Categorie</t>
  </si>
  <si>
    <t>Consumatori</t>
  </si>
  <si>
    <t>Locul amplasarii</t>
  </si>
  <si>
    <t>Apartenența</t>
  </si>
  <si>
    <t>Consumatori casnici FIDER</t>
  </si>
  <si>
    <t>Consumatori casnici FAZA</t>
  </si>
  <si>
    <t>Consumatori economici FIDER</t>
  </si>
  <si>
    <t>Consumatori economici FAZA</t>
  </si>
  <si>
    <t>Denumirea</t>
  </si>
  <si>
    <t>Punct de distributie</t>
  </si>
  <si>
    <t>Puterea tr-or, kVA</t>
  </si>
  <si>
    <t>Generator, kVA</t>
  </si>
  <si>
    <t xml:space="preserve">Casnici </t>
  </si>
  <si>
    <t>Noncasnici</t>
  </si>
  <si>
    <t>Localitatea</t>
  </si>
  <si>
    <t>Adresa</t>
  </si>
  <si>
    <t>1T</t>
  </si>
  <si>
    <t>2T</t>
  </si>
  <si>
    <t>ST. Cornesti 110/35/10 KV</t>
  </si>
  <si>
    <t>I</t>
  </si>
  <si>
    <t>1CT</t>
  </si>
  <si>
    <t>III</t>
  </si>
  <si>
    <t>or.Cornesti</t>
  </si>
  <si>
    <t>SA"RED-Nord"</t>
  </si>
  <si>
    <t>2CT</t>
  </si>
  <si>
    <t>?</t>
  </si>
  <si>
    <t>PT623CT2</t>
  </si>
  <si>
    <t>Baza SRL</t>
  </si>
  <si>
    <t>SRL"Troian"</t>
  </si>
  <si>
    <t>s.Poiana</t>
  </si>
  <si>
    <t>PT650CT2</t>
  </si>
  <si>
    <t>Baza de protectie</t>
  </si>
  <si>
    <t>Serviciul Antigrindina</t>
  </si>
  <si>
    <t>PT725CT2</t>
  </si>
  <si>
    <t>Turbina Eoliană</t>
  </si>
  <si>
    <t>Aghenie Victor "Sursa Regenerabilă De Energie Electrică"</t>
  </si>
  <si>
    <t>s.Mircesti</t>
  </si>
  <si>
    <t>PT704CT2</t>
  </si>
  <si>
    <t>s.Magurele</t>
  </si>
  <si>
    <t>SRL CRAMA MIRCEȘTI</t>
  </si>
  <si>
    <t>PT690CT2</t>
  </si>
  <si>
    <t>s.Mircești</t>
  </si>
  <si>
    <t>CS127CT2</t>
  </si>
  <si>
    <t>PT740CT2</t>
  </si>
  <si>
    <t>statie GSM</t>
  </si>
  <si>
    <t>PT513CT2</t>
  </si>
  <si>
    <t>Statia PECO</t>
  </si>
  <si>
    <t>SRL"Garma-Grup"</t>
  </si>
  <si>
    <t>PT556CT2</t>
  </si>
  <si>
    <t>s.Boghenii Vechi</t>
  </si>
  <si>
    <t>PT625CT2</t>
  </si>
  <si>
    <t>PT613CT2</t>
  </si>
  <si>
    <t>s.Sinestii Noi</t>
  </si>
  <si>
    <t>s.Izvorani</t>
  </si>
  <si>
    <t>SRL CAND VAS</t>
  </si>
  <si>
    <t>SS409CT2</t>
  </si>
  <si>
    <t>PT679CT2</t>
  </si>
  <si>
    <t>PT735CT2</t>
  </si>
  <si>
    <t>statie de epurare</t>
  </si>
  <si>
    <t>Primariea Magurele</t>
  </si>
  <si>
    <t>Gradinita</t>
  </si>
  <si>
    <t>5CT</t>
  </si>
  <si>
    <t>PT681CT5</t>
  </si>
  <si>
    <t>Statia de pompare</t>
  </si>
  <si>
    <t>IM"Apa-Canal"</t>
  </si>
  <si>
    <t>Scoala</t>
  </si>
  <si>
    <t>PT612CT5</t>
  </si>
  <si>
    <t>MSXT</t>
  </si>
  <si>
    <t>SA"Agroservicii"</t>
  </si>
  <si>
    <t>PT515CT5</t>
  </si>
  <si>
    <t>Sectia de reparatie</t>
  </si>
  <si>
    <t>Casa pionerilor</t>
  </si>
  <si>
    <t>PT517CT5</t>
  </si>
  <si>
    <t>PT500CT5</t>
  </si>
  <si>
    <t>turn de telefonie mobila</t>
  </si>
  <si>
    <t>PT544CT5</t>
  </si>
  <si>
    <t>Consiliul Raional</t>
  </si>
  <si>
    <t>FCRS Complex</t>
  </si>
  <si>
    <t>GT"Lacusta "</t>
  </si>
  <si>
    <t>7CT</t>
  </si>
  <si>
    <t>Centrul Comercial</t>
  </si>
  <si>
    <t>s.Bumbata</t>
  </si>
  <si>
    <t>3PT698</t>
  </si>
  <si>
    <t>PT602CT7</t>
  </si>
  <si>
    <t>8CT</t>
  </si>
  <si>
    <t>PT592CT8</t>
  </si>
  <si>
    <t>Fintina arteziana</t>
  </si>
  <si>
    <t>SRL"Apa Minerala"</t>
  </si>
  <si>
    <t>Depozit</t>
  </si>
  <si>
    <t>Statia Antigrindina</t>
  </si>
  <si>
    <t>PT646CT8</t>
  </si>
  <si>
    <t>PT693CT8</t>
  </si>
  <si>
    <t>PT699CT8</t>
  </si>
  <si>
    <t>1PT676CT8</t>
  </si>
  <si>
    <t>PT734CT8</t>
  </si>
  <si>
    <t>PT606CT8</t>
  </si>
  <si>
    <t>Moara</t>
  </si>
  <si>
    <t>SA"Unstango"</t>
  </si>
  <si>
    <t>Statie telefonica</t>
  </si>
  <si>
    <t>PT557CT8</t>
  </si>
  <si>
    <t>SA"ORANGE-Moldova"</t>
  </si>
  <si>
    <t>s.Drujba</t>
  </si>
  <si>
    <t>Brigada de tractoare</t>
  </si>
  <si>
    <t>S506CT8</t>
  </si>
  <si>
    <t>s.Minzatesti</t>
  </si>
  <si>
    <t>SA"Ungheni-Vin"</t>
  </si>
  <si>
    <t>Sectia de producere</t>
  </si>
  <si>
    <t>GT"Chitoroaga Irina"</t>
  </si>
  <si>
    <t xml:space="preserve">Punct de uscare </t>
  </si>
  <si>
    <t xml:space="preserve"> SRL"Prun Agro"</t>
  </si>
  <si>
    <t>CS121CT8</t>
  </si>
  <si>
    <t>S508CT8</t>
  </si>
  <si>
    <t>PT723CT8</t>
  </si>
  <si>
    <t>PT719CT8</t>
  </si>
  <si>
    <t>Staţia de telefonie mobilă</t>
  </si>
  <si>
    <t>S.A."MOLDTELECOM"</t>
  </si>
  <si>
    <t>s.Curtoaia</t>
  </si>
  <si>
    <t>PT715CT8</t>
  </si>
  <si>
    <t>s.Napadeni</t>
  </si>
  <si>
    <t>Bodrug Tudor</t>
  </si>
  <si>
    <t>S567CT8</t>
  </si>
  <si>
    <t>Ferma de porci</t>
  </si>
  <si>
    <t>Primaria s.Napadeni</t>
  </si>
  <si>
    <t>PT683CT8</t>
  </si>
  <si>
    <t>Statia mobila</t>
  </si>
  <si>
    <t>PT582CT8</t>
  </si>
  <si>
    <t>S514CT8</t>
  </si>
  <si>
    <t>PT661CT8</t>
  </si>
  <si>
    <t>Primaria s.Cornova</t>
  </si>
  <si>
    <t>9CT</t>
  </si>
  <si>
    <t>PT640CT9</t>
  </si>
  <si>
    <t>Pompa de apa</t>
  </si>
  <si>
    <t>Primaria or.Cornesti</t>
  </si>
  <si>
    <t>s.Cornesti</t>
  </si>
  <si>
    <t>PT506CT9</t>
  </si>
  <si>
    <t>Retranslator</t>
  </si>
  <si>
    <t>SS496CT9</t>
  </si>
  <si>
    <t>s.Bahmut</t>
  </si>
  <si>
    <t>IS"Silvia Centru"</t>
  </si>
  <si>
    <t>Baza de odihna</t>
  </si>
  <si>
    <t>SRL"Bahmut Club"</t>
  </si>
  <si>
    <t>PT713CT9</t>
  </si>
  <si>
    <t>SA"Liga-2"</t>
  </si>
  <si>
    <t>PT573CT9</t>
  </si>
  <si>
    <t>IP"VOSHOD"</t>
  </si>
  <si>
    <t>s.Veverita</t>
  </si>
  <si>
    <t>ST. Pîrliţa 35/10 KV</t>
  </si>
  <si>
    <t>1PR</t>
  </si>
  <si>
    <t>s.Agronomovca</t>
  </si>
  <si>
    <t>PT594PR1</t>
  </si>
  <si>
    <t>s.Zazuleni</t>
  </si>
  <si>
    <t>Fabrica de pasari</t>
  </si>
  <si>
    <t>SA"RED-Nord", ID-10kV</t>
  </si>
  <si>
    <t>s.Zazulenii Noi</t>
  </si>
  <si>
    <t>s.Buşila</t>
  </si>
  <si>
    <t>Sectia de prot. chimica</t>
  </si>
  <si>
    <t>SA"MoldTransGAZ"</t>
  </si>
  <si>
    <t>PT554PR1</t>
  </si>
  <si>
    <t>Sediu cu fatare</t>
  </si>
  <si>
    <t>G.T."Ion Melnic"</t>
  </si>
  <si>
    <t>s.Negurenii Vechi</t>
  </si>
  <si>
    <t>s.Negurenii Noi</t>
  </si>
  <si>
    <t>2PR</t>
  </si>
  <si>
    <t>???</t>
  </si>
  <si>
    <t>PT226PR2</t>
  </si>
  <si>
    <t>Gospodarie</t>
  </si>
  <si>
    <t>SA"Agrosfera BN"</t>
  </si>
  <si>
    <t>s.Todireşti</t>
  </si>
  <si>
    <t>Cazangerie</t>
  </si>
  <si>
    <t>s.Grăseni</t>
  </si>
  <si>
    <t>PT596PR2</t>
  </si>
  <si>
    <t>PT325PR2</t>
  </si>
  <si>
    <t>PT277PR2</t>
  </si>
  <si>
    <t>PT352PR2</t>
  </si>
  <si>
    <t>Statia GSM</t>
  </si>
  <si>
    <t>PT225PR2</t>
  </si>
  <si>
    <t>Statia de irigare</t>
  </si>
  <si>
    <t>Primaria s.Todireşti</t>
  </si>
  <si>
    <t>PT144PR2</t>
  </si>
  <si>
    <t>PT278PR2</t>
  </si>
  <si>
    <t>Statia de prot. chimica</t>
  </si>
  <si>
    <t>4PR</t>
  </si>
  <si>
    <t>PT641PR4</t>
  </si>
  <si>
    <t>PT551PR4</t>
  </si>
  <si>
    <t>2PT551</t>
  </si>
  <si>
    <t>2PT695</t>
  </si>
  <si>
    <t>S560PR4</t>
  </si>
  <si>
    <t>PT643PR4</t>
  </si>
  <si>
    <t>Complex comercial</t>
  </si>
  <si>
    <t>SRL"Caliga Reveca"</t>
  </si>
  <si>
    <t>PT741PR4</t>
  </si>
  <si>
    <t>Cotici Anton</t>
  </si>
  <si>
    <t>s.Nicolaevca Veche</t>
  </si>
  <si>
    <t>S569PR4</t>
  </si>
  <si>
    <t>PT566PR4</t>
  </si>
  <si>
    <t>PT738PR4</t>
  </si>
  <si>
    <t>SA"Ciz Gaz"</t>
  </si>
  <si>
    <t>S562PR4</t>
  </si>
  <si>
    <t>PT697PR4</t>
  </si>
  <si>
    <t>Rezervor de apa</t>
  </si>
  <si>
    <t>IM "APA-UNGHENI"</t>
  </si>
  <si>
    <t>s.Lidovca</t>
  </si>
  <si>
    <t>3PT541</t>
  </si>
  <si>
    <t>7PR</t>
  </si>
  <si>
    <t>Centru Comercial</t>
  </si>
  <si>
    <t>PT653PR7</t>
  </si>
  <si>
    <t>SRL"GREEN ENERGO"</t>
  </si>
  <si>
    <t>PT571PR7</t>
  </si>
  <si>
    <t>Benzinarie</t>
  </si>
  <si>
    <t>LUCOIL Moldova</t>
  </si>
  <si>
    <t>SRL"EVRASCON-EUROPE"</t>
  </si>
  <si>
    <t>PT586CT7</t>
  </si>
  <si>
    <t>PT666CT7</t>
  </si>
  <si>
    <t>PT657CT7</t>
  </si>
  <si>
    <t>PT663PR7</t>
  </si>
  <si>
    <t>s.Rădenii Vechi</t>
  </si>
  <si>
    <t>CS123PR7</t>
  </si>
  <si>
    <t>1PT648PR4</t>
  </si>
  <si>
    <t>Spital</t>
  </si>
  <si>
    <t>PT599PR7</t>
  </si>
  <si>
    <t>IS"Silvia-Centru"</t>
  </si>
  <si>
    <t>PT615PR7</t>
  </si>
  <si>
    <t>Casa de odihna</t>
  </si>
  <si>
    <t>Tabara de pioneri</t>
  </si>
  <si>
    <t>PT636PR7</t>
  </si>
  <si>
    <t>PT536PR7</t>
  </si>
  <si>
    <t>PT677PR7</t>
  </si>
  <si>
    <t>Sectia de uscare a fructelor</t>
  </si>
  <si>
    <t>SRL" UNPRODCOM"</t>
  </si>
  <si>
    <t>PT730PR7</t>
  </si>
  <si>
    <t>casa de vacanta</t>
  </si>
  <si>
    <t>Stratan Stefan</t>
  </si>
  <si>
    <t>PT221PR7</t>
  </si>
  <si>
    <t>s.Săghiana</t>
  </si>
  <si>
    <t>II</t>
  </si>
  <si>
    <t>10PR</t>
  </si>
  <si>
    <t>Statie de pompare</t>
  </si>
  <si>
    <t>Primaria s.Agronomovca</t>
  </si>
  <si>
    <t>Sonda de apa</t>
  </si>
  <si>
    <t>Arie</t>
  </si>
  <si>
    <t>PT728PR10</t>
  </si>
  <si>
    <t>G.T."Vizitiu Petru Mihai"</t>
  </si>
  <si>
    <t>Scoala, Gradinita</t>
  </si>
  <si>
    <t>PT701PR10</t>
  </si>
  <si>
    <t>s.Teşcureni</t>
  </si>
  <si>
    <t>Ferma</t>
  </si>
  <si>
    <t>PT572PR10</t>
  </si>
  <si>
    <t>PT687PR10</t>
  </si>
  <si>
    <t>CS122PR10</t>
  </si>
  <si>
    <t>s.Ţîgîra</t>
  </si>
  <si>
    <t>Sere</t>
  </si>
  <si>
    <t>s.Coşeni</t>
  </si>
  <si>
    <t>PT642PR10</t>
  </si>
  <si>
    <t>PT674PR10</t>
  </si>
  <si>
    <t>PT531PR10</t>
  </si>
  <si>
    <t>Uscatorie de tutun</t>
  </si>
  <si>
    <t>PT721PR10</t>
  </si>
  <si>
    <t>Gradinita,priza de apa</t>
  </si>
  <si>
    <t>Primaria s.Negurenii Vechi</t>
  </si>
  <si>
    <t>ST. Ungheni 110/35/10 KV</t>
  </si>
  <si>
    <t>1B</t>
  </si>
  <si>
    <t>PT351UN43</t>
  </si>
  <si>
    <t>str.Industriala</t>
  </si>
  <si>
    <t>fabrica de fibre sintetice</t>
  </si>
  <si>
    <t>SRL"Euro-Yarns"</t>
  </si>
  <si>
    <t>1A</t>
  </si>
  <si>
    <t>PD14UN1A</t>
  </si>
  <si>
    <t>str.O.Ungureanu</t>
  </si>
  <si>
    <t>fabrica de cereale</t>
  </si>
  <si>
    <t>SA"Cereale-Prut"</t>
  </si>
  <si>
    <t>1UN</t>
  </si>
  <si>
    <t>PT24UN1</t>
  </si>
  <si>
    <t>str.Decebal</t>
  </si>
  <si>
    <t>SA"Triumf"</t>
  </si>
  <si>
    <t>str.I.Creanga</t>
  </si>
  <si>
    <t>2UN</t>
  </si>
  <si>
    <t>PT16UN35</t>
  </si>
  <si>
    <t>str.Ungureanu</t>
  </si>
  <si>
    <t>(ID-10kV);SA"RED-Nord"</t>
  </si>
  <si>
    <t>4UN</t>
  </si>
  <si>
    <t>PD11UN40</t>
  </si>
  <si>
    <t>fabrica de covoare</t>
  </si>
  <si>
    <t>SA"Covoare-Ungheni"</t>
  </si>
  <si>
    <t>5UN</t>
  </si>
  <si>
    <t>PT399UN5</t>
  </si>
  <si>
    <t>PT91UN5</t>
  </si>
  <si>
    <t>str. Industriala</t>
  </si>
  <si>
    <t>SRL"Javelin"</t>
  </si>
  <si>
    <t>PT48UN5</t>
  </si>
  <si>
    <t>fabrica de vinuri</t>
  </si>
  <si>
    <t>PT14UN5</t>
  </si>
  <si>
    <t>str. G. Crestiuc</t>
  </si>
  <si>
    <t>fabrica de huse auto</t>
  </si>
  <si>
    <t>ICS "LEAR CORPORATION"</t>
  </si>
  <si>
    <t>11UN</t>
  </si>
  <si>
    <t>PT40UN11</t>
  </si>
  <si>
    <t>PT60UN11</t>
  </si>
  <si>
    <t>Fabrica de nuci</t>
  </si>
  <si>
    <t>ICS"Pinto-Mold"</t>
  </si>
  <si>
    <t>PT237UN11</t>
  </si>
  <si>
    <t>PT274UN11</t>
  </si>
  <si>
    <t>PT255UN11</t>
  </si>
  <si>
    <t xml:space="preserve">Poligon Politia de frontiera </t>
  </si>
  <si>
    <t>PT295UN11</t>
  </si>
  <si>
    <t>PT243UN11</t>
  </si>
  <si>
    <t>Apeduct</t>
  </si>
  <si>
    <t>PT22UN11</t>
  </si>
  <si>
    <t>fabrica chimica</t>
  </si>
  <si>
    <t>SA"Activant"</t>
  </si>
  <si>
    <t>PT261UN11</t>
  </si>
  <si>
    <t>s.Semeni</t>
  </si>
  <si>
    <t>SRL"Cedonia"</t>
  </si>
  <si>
    <t>PT263UN11</t>
  </si>
  <si>
    <t xml:space="preserve">baza de producere </t>
  </si>
  <si>
    <t>SRL"Luciafarul de seara"</t>
  </si>
  <si>
    <t>13UN</t>
  </si>
  <si>
    <t>str.Bernardazzi</t>
  </si>
  <si>
    <t>15UN</t>
  </si>
  <si>
    <t>PT89UN15</t>
  </si>
  <si>
    <t xml:space="preserve">s.Crestiuc </t>
  </si>
  <si>
    <t>Baza de comert</t>
  </si>
  <si>
    <t>SA"Agrocomert"</t>
  </si>
  <si>
    <t>17UN</t>
  </si>
  <si>
    <t>PT63UN17</t>
  </si>
  <si>
    <t>Colegiu</t>
  </si>
  <si>
    <t>Colegiul Agroindustrial</t>
  </si>
  <si>
    <t>str.G.Ureche</t>
  </si>
  <si>
    <t>PT53UN17</t>
  </si>
  <si>
    <t>str.Al.cel Bun</t>
  </si>
  <si>
    <t>Scoala auto</t>
  </si>
  <si>
    <t>PT98UN17</t>
  </si>
  <si>
    <t>str.Hajdeu</t>
  </si>
  <si>
    <t>20UN</t>
  </si>
  <si>
    <t>5PD1</t>
  </si>
  <si>
    <t>PT54UN20</t>
  </si>
  <si>
    <t>PT51UN20</t>
  </si>
  <si>
    <t>str.Orangareii</t>
  </si>
  <si>
    <t>6PD1</t>
  </si>
  <si>
    <t>str.M.Eminescu</t>
  </si>
  <si>
    <t>str.Nationala</t>
  </si>
  <si>
    <t>7PD1</t>
  </si>
  <si>
    <t>PD6UN30</t>
  </si>
  <si>
    <t>str. Lacului</t>
  </si>
  <si>
    <t>statie tratare a apei</t>
  </si>
  <si>
    <t>PT58UN30</t>
  </si>
  <si>
    <t>str.St. Cel Mare</t>
  </si>
  <si>
    <t>deservirea auto</t>
  </si>
  <si>
    <t>SRL"Ver-Tamar"</t>
  </si>
  <si>
    <t>PT50UN30</t>
  </si>
  <si>
    <t>str.Unirii</t>
  </si>
  <si>
    <t>PT94UN30</t>
  </si>
  <si>
    <t>str.Valenilor</t>
  </si>
  <si>
    <t>23UN</t>
  </si>
  <si>
    <t>Fabrica de ceramica</t>
  </si>
  <si>
    <t>PT34UN23</t>
  </si>
  <si>
    <t>250; 400</t>
  </si>
  <si>
    <t>str.Boico</t>
  </si>
  <si>
    <t>Baza</t>
  </si>
  <si>
    <t xml:space="preserve">SRL"LONES-MOL" </t>
  </si>
  <si>
    <t>PD13UN23</t>
  </si>
  <si>
    <t>str.Creanga</t>
  </si>
  <si>
    <t>Baza de producere</t>
  </si>
  <si>
    <t>SRL "NOVAPROD"</t>
  </si>
  <si>
    <t>PT15UN23</t>
  </si>
  <si>
    <t>Combinatul de carne</t>
  </si>
  <si>
    <t>(ID-10kV); SA"RED-Nord"</t>
  </si>
  <si>
    <t>PT70UN23</t>
  </si>
  <si>
    <t>PT300UN23</t>
  </si>
  <si>
    <t>s.Crestiuc</t>
  </si>
  <si>
    <t>ICS"LEAR-CORPORATION</t>
  </si>
  <si>
    <t>25UN</t>
  </si>
  <si>
    <t>PD12UN1</t>
  </si>
  <si>
    <t>str.Crestiuc</t>
  </si>
  <si>
    <t>26UN</t>
  </si>
  <si>
    <t>str.G.Meniuc</t>
  </si>
  <si>
    <t>28UN</t>
  </si>
  <si>
    <t>s.Elizavetovca</t>
  </si>
  <si>
    <t>Statia Beresti</t>
  </si>
  <si>
    <t>PT62UN28</t>
  </si>
  <si>
    <t>IM"Apa-canal"</t>
  </si>
  <si>
    <t>CS129UN28</t>
  </si>
  <si>
    <t>PT171UN28</t>
  </si>
  <si>
    <t>PT106UN28</t>
  </si>
  <si>
    <t>s.Nicolaevca</t>
  </si>
  <si>
    <t>Restaurant</t>
  </si>
  <si>
    <t>II"Dosca Ilarion"</t>
  </si>
  <si>
    <t>PT727UN28</t>
  </si>
  <si>
    <r>
      <t>SRL</t>
    </r>
    <r>
      <rPr>
        <b/>
        <sz val="12"/>
        <color theme="1"/>
        <rFont val="Calibri"/>
        <family val="2"/>
        <charset val="204"/>
      </rPr>
      <t>„</t>
    </r>
    <r>
      <rPr>
        <b/>
        <sz val="12"/>
        <color theme="1"/>
        <rFont val="Calibri"/>
        <family val="2"/>
        <charset val="204"/>
        <scheme val="minor"/>
      </rPr>
      <t>Nicajet</t>
    </r>
    <r>
      <rPr>
        <b/>
        <sz val="12"/>
        <color theme="1"/>
        <rFont val="Calibri"/>
        <family val="2"/>
        <charset val="204"/>
      </rPr>
      <t>”</t>
    </r>
  </si>
  <si>
    <t>s.Nicolaevca Noua</t>
  </si>
  <si>
    <t>PT292UN28</t>
  </si>
  <si>
    <t>Antena 3G</t>
  </si>
  <si>
    <t>PT166UN28</t>
  </si>
  <si>
    <t>fabrica de asfalt betonic</t>
  </si>
  <si>
    <t>S.A."Drumuri-Străşeni"</t>
  </si>
  <si>
    <t>S59UN28</t>
  </si>
  <si>
    <t>PT345UN28</t>
  </si>
  <si>
    <t>PT319UN28</t>
  </si>
  <si>
    <t>LUNGU SEWRGIU</t>
  </si>
  <si>
    <t>PT129UN28</t>
  </si>
  <si>
    <t>statie de gaz</t>
  </si>
  <si>
    <t>MoldTransGAZ</t>
  </si>
  <si>
    <t>PT297UN28</t>
  </si>
  <si>
    <t>AV "Miciurinet"</t>
  </si>
  <si>
    <t>PT181UN28</t>
  </si>
  <si>
    <t>Stina de oi</t>
  </si>
  <si>
    <t>GT "Bostan Ion"</t>
  </si>
  <si>
    <t>PT279UN28</t>
  </si>
  <si>
    <t>GT "GLODEANU ION"</t>
  </si>
  <si>
    <t>PT147UN28</t>
  </si>
  <si>
    <t>Primaria Manoilesti</t>
  </si>
  <si>
    <t>PT366UN28</t>
  </si>
  <si>
    <t>statie de tratare a apei</t>
  </si>
  <si>
    <t>PT251UN28</t>
  </si>
  <si>
    <t>ORANGE Moldova</t>
  </si>
  <si>
    <t>s.Vulpesti</t>
  </si>
  <si>
    <t>30UN</t>
  </si>
  <si>
    <t>PT13N30</t>
  </si>
  <si>
    <t>PT722UN30</t>
  </si>
  <si>
    <t>SRL "Slavena-Lux"</t>
  </si>
  <si>
    <t>17PD1</t>
  </si>
  <si>
    <t>str.Iasului</t>
  </si>
  <si>
    <t>str.Gradinilor</t>
  </si>
  <si>
    <t>20PD1</t>
  </si>
  <si>
    <t>str.Livezilor</t>
  </si>
  <si>
    <t>21PD1</t>
  </si>
  <si>
    <t>PT31UN26</t>
  </si>
  <si>
    <t>str.Romana</t>
  </si>
  <si>
    <t>Policlinica</t>
  </si>
  <si>
    <t>str.B.Lautaru</t>
  </si>
  <si>
    <t>str.V.Lupu</t>
  </si>
  <si>
    <t>PT87UN26</t>
  </si>
  <si>
    <t>Spitalul raional</t>
  </si>
  <si>
    <t>Spitalul Raional</t>
  </si>
  <si>
    <t>23PD1</t>
  </si>
  <si>
    <t>str.T.Arghezi</t>
  </si>
  <si>
    <t>PT20UN30</t>
  </si>
  <si>
    <t>str.Putna</t>
  </si>
  <si>
    <t>str.G.Asachi</t>
  </si>
  <si>
    <t>24PD1</t>
  </si>
  <si>
    <t>PT76UN30</t>
  </si>
  <si>
    <t>str.V.Alexandrii</t>
  </si>
  <si>
    <t>PT65UN30</t>
  </si>
  <si>
    <t>Scoala internat</t>
  </si>
  <si>
    <t>PT38UN30</t>
  </si>
  <si>
    <t>Fabrica de piine</t>
  </si>
  <si>
    <t>SRL "DANOVA-PRIM"</t>
  </si>
  <si>
    <t>PT52UN30</t>
  </si>
  <si>
    <t>str. Stefan Cel Mare</t>
  </si>
  <si>
    <t>PT5UN30</t>
  </si>
  <si>
    <t>Fabrica de caramida</t>
  </si>
  <si>
    <t>SRL"Codreanca"</t>
  </si>
  <si>
    <t>25PD1</t>
  </si>
  <si>
    <t>PT75UN30</t>
  </si>
  <si>
    <t>33UN</t>
  </si>
  <si>
    <t>statia fotovoltaica</t>
  </si>
  <si>
    <t>SRL"Covoare-Lux"</t>
  </si>
  <si>
    <t>34UN</t>
  </si>
  <si>
    <t>PT211UN34</t>
  </si>
  <si>
    <t>str.Ungureanu 2A</t>
  </si>
  <si>
    <t>garaj auto</t>
  </si>
  <si>
    <t>CCEG "SEMAFORUL"</t>
  </si>
  <si>
    <t>str.Balteni</t>
  </si>
  <si>
    <t>PT93UN34</t>
  </si>
  <si>
    <t>PT327UN34</t>
  </si>
  <si>
    <t>Statia de dservire auto</t>
  </si>
  <si>
    <t>SRL"ARMIAUTO"</t>
  </si>
  <si>
    <t>S165UN34</t>
  </si>
  <si>
    <t>s. Zagarancea</t>
  </si>
  <si>
    <t>S168UN34</t>
  </si>
  <si>
    <t>PT264UN34</t>
  </si>
  <si>
    <t>baza de extragerea nisipului</t>
  </si>
  <si>
    <t>Portul fluvial</t>
  </si>
  <si>
    <t>PT180UN34</t>
  </si>
  <si>
    <t>35UN</t>
  </si>
  <si>
    <t>baza Cereale</t>
  </si>
  <si>
    <t>36UN</t>
  </si>
  <si>
    <t>PT154UN36</t>
  </si>
  <si>
    <t>baza</t>
  </si>
  <si>
    <t>PT290UN36</t>
  </si>
  <si>
    <t>Unitatea Politiei de frontiera</t>
  </si>
  <si>
    <t>UNITATEA MILITARA</t>
  </si>
  <si>
    <t>PT257UN36</t>
  </si>
  <si>
    <t>statia de irigare</t>
  </si>
  <si>
    <t>40UN</t>
  </si>
  <si>
    <t>rezerv 4UN</t>
  </si>
  <si>
    <t>Fabrica de Covoare</t>
  </si>
  <si>
    <t>41UN</t>
  </si>
  <si>
    <t>rezerv 5UN</t>
  </si>
  <si>
    <t>Fabrica de producere firilor sintetice</t>
  </si>
  <si>
    <t>ST. Cioropcani Noi 110/35/10 KV</t>
  </si>
  <si>
    <t>3CP</t>
  </si>
  <si>
    <t>s.Stolniceni</t>
  </si>
  <si>
    <t>s.Bulhac</t>
  </si>
  <si>
    <t>PT405CP3</t>
  </si>
  <si>
    <t>statia de irigare nr.2</t>
  </si>
  <si>
    <t>5CP</t>
  </si>
  <si>
    <t>s.Cioropcanii Noi</t>
  </si>
  <si>
    <t>6CP</t>
  </si>
  <si>
    <t>14CP</t>
  </si>
  <si>
    <t>PT415CP14</t>
  </si>
  <si>
    <t>PT339CP14</t>
  </si>
  <si>
    <t>statia de irigare nr.27</t>
  </si>
  <si>
    <t>sectia mecanica</t>
  </si>
  <si>
    <t>Primaria s.Floreni</t>
  </si>
  <si>
    <t>PT733CP14</t>
  </si>
  <si>
    <t>depozit</t>
  </si>
  <si>
    <t>Muzin Vladislav</t>
  </si>
  <si>
    <t>PT359CP14</t>
  </si>
  <si>
    <t>statia telefonica</t>
  </si>
  <si>
    <t>MOLDTELECOM</t>
  </si>
  <si>
    <t>PT333CP14</t>
  </si>
  <si>
    <t>fabrica de piine</t>
  </si>
  <si>
    <t>PT332CP14</t>
  </si>
  <si>
    <t xml:space="preserve">Spitalul </t>
  </si>
  <si>
    <t>PT395CP14</t>
  </si>
  <si>
    <t>AO "Sculeni"</t>
  </si>
  <si>
    <t>PT401CP14</t>
  </si>
  <si>
    <t>PT308CP14</t>
  </si>
  <si>
    <t>SA "Agroservice"</t>
  </si>
  <si>
    <t>s.Blindesti</t>
  </si>
  <si>
    <t>PT374CP14</t>
  </si>
  <si>
    <t>s.Medeleni</t>
  </si>
  <si>
    <t>COVAȘNIUC MARCEEL</t>
  </si>
  <si>
    <t>PT209CP14</t>
  </si>
  <si>
    <t>Grebenciuc Anatolii</t>
  </si>
  <si>
    <t>3PT209CP14</t>
  </si>
  <si>
    <t>statia piscicola</t>
  </si>
  <si>
    <t>SA"Piscicultorul"</t>
  </si>
  <si>
    <t>PT271CP14</t>
  </si>
  <si>
    <t>statia telefonica a politiei de front</t>
  </si>
  <si>
    <t>Politia de frontiera</t>
  </si>
  <si>
    <t>PT349CP14</t>
  </si>
  <si>
    <t>oloinita, moara</t>
  </si>
  <si>
    <t>GT "Pendus Pavel"</t>
  </si>
  <si>
    <t>17CP</t>
  </si>
  <si>
    <t>PT377CP17</t>
  </si>
  <si>
    <t>s.Floresti</t>
  </si>
  <si>
    <t>s.Buciumeni</t>
  </si>
  <si>
    <t>PT380CP17</t>
  </si>
  <si>
    <t>SRL"Fortina Labis"</t>
  </si>
  <si>
    <t>PT337CP17</t>
  </si>
  <si>
    <t>s.Petresti</t>
  </si>
  <si>
    <t>Cariera de  nisip</t>
  </si>
  <si>
    <t>SRL" Sampdoria"</t>
  </si>
  <si>
    <t>PT335CP17</t>
  </si>
  <si>
    <t>SA"Silvia-Centru"</t>
  </si>
  <si>
    <t>statie de pompare</t>
  </si>
  <si>
    <t>SRL"CONFORT"</t>
  </si>
  <si>
    <t>statia de pompare nr.7</t>
  </si>
  <si>
    <t>PT222CP17</t>
  </si>
  <si>
    <t>ferma de porci</t>
  </si>
  <si>
    <t>SA "CONFORT"</t>
  </si>
  <si>
    <t>PT383CP17</t>
  </si>
  <si>
    <t>II"Grigore Surucianu</t>
  </si>
  <si>
    <t>incubator</t>
  </si>
  <si>
    <t>SS176 CP17</t>
  </si>
  <si>
    <t>ferma de pasari</t>
  </si>
  <si>
    <t>PT309CP17</t>
  </si>
  <si>
    <t>Primaria s.Petresti</t>
  </si>
  <si>
    <t>PT163CP17</t>
  </si>
  <si>
    <t>fintina arteziana</t>
  </si>
  <si>
    <t>PT356CP17</t>
  </si>
  <si>
    <t>CS126CP17</t>
  </si>
  <si>
    <t>PT208CP17</t>
  </si>
  <si>
    <t>PT118CP17</t>
  </si>
  <si>
    <t>iluminare</t>
  </si>
  <si>
    <t>PT236CP17</t>
  </si>
  <si>
    <t xml:space="preserve">iaz </t>
  </si>
  <si>
    <t>GT "Ciobanu Ion"</t>
  </si>
  <si>
    <t>s.Todirești</t>
  </si>
  <si>
    <t>VestMoldtransGaz</t>
  </si>
  <si>
    <t>PT259CP17</t>
  </si>
  <si>
    <t>statia de irigare nr.19</t>
  </si>
  <si>
    <t>18CP</t>
  </si>
  <si>
    <t>PT313CP18</t>
  </si>
  <si>
    <t>s.Chirileni</t>
  </si>
  <si>
    <t>SA"MoldTelecom"</t>
  </si>
  <si>
    <t>S274 CP18</t>
  </si>
  <si>
    <t>s.Busila</t>
  </si>
  <si>
    <t>CONS."prelucrarea nu</t>
  </si>
  <si>
    <t>PT726CP18</t>
  </si>
  <si>
    <t>Primariea Busila</t>
  </si>
  <si>
    <t>PT347CP18</t>
  </si>
  <si>
    <t>Antena GSM</t>
  </si>
  <si>
    <t>PT369CP18</t>
  </si>
  <si>
    <t>PT394CP18</t>
  </si>
  <si>
    <t>ST. Gherman 35/10 KV</t>
  </si>
  <si>
    <t>1GH</t>
  </si>
  <si>
    <t>s.Gherman</t>
  </si>
  <si>
    <t>statie de pompare nr.5</t>
  </si>
  <si>
    <t>statie de pompare nr.25</t>
  </si>
  <si>
    <t>Consil. raional Falesti</t>
  </si>
  <si>
    <t>3GH</t>
  </si>
  <si>
    <t>PT326GH3</t>
  </si>
  <si>
    <t>sonda de apa</t>
  </si>
  <si>
    <t>Primaria Sculeni</t>
  </si>
  <si>
    <t>TALNOVIR COM</t>
  </si>
  <si>
    <t>SRL BEMOL-RETAIL</t>
  </si>
  <si>
    <t>PT708GH3</t>
  </si>
  <si>
    <t>SRL DUFREMOL</t>
  </si>
  <si>
    <t>oficiul vamal</t>
  </si>
  <si>
    <t xml:space="preserve">VAMA </t>
  </si>
  <si>
    <t>magazin  dutty free</t>
  </si>
  <si>
    <t>ICS"Le Bridge Corporation</t>
  </si>
  <si>
    <t>6GH</t>
  </si>
  <si>
    <t>PT324GH6</t>
  </si>
  <si>
    <t>benzinarie</t>
  </si>
  <si>
    <t>SRL"LUKOIL"</t>
  </si>
  <si>
    <t>7GH</t>
  </si>
  <si>
    <t>CS21GH7</t>
  </si>
  <si>
    <t>ICS "Engineer Wilfried Planer"</t>
  </si>
  <si>
    <t>Valea Mare 35/10 kV</t>
  </si>
  <si>
    <t>9VM</t>
  </si>
  <si>
    <t>PT298VM9</t>
  </si>
  <si>
    <t>s.Valea Mare</t>
  </si>
  <si>
    <t>SRL"Unoclom-Agro"</t>
  </si>
  <si>
    <t>Scoala ,gradinita</t>
  </si>
  <si>
    <t>IM"ORANGE MOLDOVA"</t>
  </si>
  <si>
    <t>s.Morenii Vechi</t>
  </si>
  <si>
    <t>PT138VM9</t>
  </si>
  <si>
    <t>statia de gaz</t>
  </si>
  <si>
    <t>s.Sicovet</t>
  </si>
  <si>
    <t>11VM</t>
  </si>
  <si>
    <t>PT204VM11</t>
  </si>
  <si>
    <t>statia de tratare a apei</t>
  </si>
  <si>
    <t>14VM</t>
  </si>
  <si>
    <t>PT288VM14</t>
  </si>
  <si>
    <t>Depozit agro</t>
  </si>
  <si>
    <t>Serviciu Graniceri</t>
  </si>
  <si>
    <t>Pichetul de Graniceri</t>
  </si>
  <si>
    <t>PT241VM14</t>
  </si>
  <si>
    <t>Statia de irigare nr.9</t>
  </si>
  <si>
    <t>Statia de irigare nr.10</t>
  </si>
  <si>
    <t>S128VM14</t>
  </si>
  <si>
    <t>s.Costuleni</t>
  </si>
  <si>
    <t>5PT150VM14</t>
  </si>
  <si>
    <t>PT150VM14</t>
  </si>
  <si>
    <t>Primaria Costuleni</t>
  </si>
  <si>
    <t>PT192VM14</t>
  </si>
  <si>
    <t>PT266VM14</t>
  </si>
  <si>
    <t>Ocolul Silvic</t>
  </si>
  <si>
    <t>IS"Silvicultura"</t>
  </si>
  <si>
    <t>PT276VM14</t>
  </si>
  <si>
    <t>SRL"GarmaGrup"</t>
  </si>
  <si>
    <t>PT745VM14</t>
  </si>
  <si>
    <t>Urechi Vitalii</t>
  </si>
  <si>
    <t>PT260VM14</t>
  </si>
  <si>
    <t>s.Macaresti</t>
  </si>
  <si>
    <t>ICS"Ecovit"</t>
  </si>
  <si>
    <t>PT183VM14</t>
  </si>
  <si>
    <t>Baza chimica</t>
  </si>
  <si>
    <t>SA "AgroServicii"</t>
  </si>
  <si>
    <t>Moara de ulei</t>
  </si>
  <si>
    <t>Politia</t>
  </si>
  <si>
    <t>PT338VM14</t>
  </si>
  <si>
    <t>CS124VM14</t>
  </si>
  <si>
    <t>Casa de cultura</t>
  </si>
  <si>
    <t>PT294VM14</t>
  </si>
  <si>
    <t>Fabrica de Vinuri</t>
  </si>
  <si>
    <t>Primaria ''Macaresti''</t>
  </si>
  <si>
    <t>PT286VM14</t>
  </si>
  <si>
    <t>PT291VM14</t>
  </si>
  <si>
    <t>4PT283VM14</t>
  </si>
  <si>
    <t>s.Frasinesti</t>
  </si>
  <si>
    <t>PT389VM14</t>
  </si>
  <si>
    <t>Sectie de producere</t>
  </si>
  <si>
    <t>GT"SERGIU TIGULEA"</t>
  </si>
  <si>
    <t>PT281VM14</t>
  </si>
  <si>
    <t>PT293VM14</t>
  </si>
  <si>
    <t>Statie GSM</t>
  </si>
  <si>
    <t>Depozit de cereale</t>
  </si>
  <si>
    <t>PD2UN 35/10 kV</t>
  </si>
  <si>
    <t>1PD2</t>
  </si>
  <si>
    <t>PT19PD2 1</t>
  </si>
  <si>
    <t>str. Nationala</t>
  </si>
  <si>
    <t>Magazin de masini agricole</t>
  </si>
  <si>
    <t>PT27PD2 1</t>
  </si>
  <si>
    <t>SA. ,,Magistrala"</t>
  </si>
  <si>
    <t>PT97PD2 1</t>
  </si>
  <si>
    <t>Punct de reglare a presiunii gazului</t>
  </si>
  <si>
    <t>SRL,,Ungheni-Gaz"</t>
  </si>
  <si>
    <t>PT81PD2 1</t>
  </si>
  <si>
    <t>,,Calcar-Granit"</t>
  </si>
  <si>
    <t>PT284PD2 1</t>
  </si>
  <si>
    <t>SRL,,ConsVin"</t>
  </si>
  <si>
    <t>S56PD2 1</t>
  </si>
  <si>
    <t>PT146PD2 1</t>
  </si>
  <si>
    <t>cons. Particulara</t>
  </si>
  <si>
    <t>COOP "POMICULUI MED"</t>
  </si>
  <si>
    <t>PT412PD2 1</t>
  </si>
  <si>
    <t>SRL DAPTRIUS</t>
  </si>
  <si>
    <t>PT256PD2 1</t>
  </si>
  <si>
    <t>Vile particulare</t>
  </si>
  <si>
    <t>str.Brincus</t>
  </si>
  <si>
    <t>str.Viilor</t>
  </si>
  <si>
    <t>PT199PD2 1</t>
  </si>
  <si>
    <t>,,Stimul"</t>
  </si>
  <si>
    <t>PT299PD2 1</t>
  </si>
  <si>
    <t>Asociatia,,Piscevic"</t>
  </si>
  <si>
    <t>CS128PD2 1</t>
  </si>
  <si>
    <t>PT348PD2 1</t>
  </si>
  <si>
    <t>Casa padurarului</t>
  </si>
  <si>
    <t>SRL"Silva-Centru"</t>
  </si>
  <si>
    <t xml:space="preserve">Antena </t>
  </si>
  <si>
    <t>5PD2</t>
  </si>
  <si>
    <t>str.Naţională</t>
  </si>
  <si>
    <t>baza de producere constructie</t>
  </si>
  <si>
    <t>7PD2</t>
  </si>
  <si>
    <t>UN_str.Romana</t>
  </si>
  <si>
    <t>9PD2</t>
  </si>
  <si>
    <t>PT9PD2 9</t>
  </si>
  <si>
    <t>UN_str.M.Eminescu</t>
  </si>
  <si>
    <t>Spital, Scoala</t>
  </si>
  <si>
    <t>11PD2</t>
  </si>
  <si>
    <t>PT42PD2 11</t>
  </si>
  <si>
    <t xml:space="preserve">Baza,Frigider </t>
  </si>
  <si>
    <t>SRL"SCOPOS"</t>
  </si>
  <si>
    <t>12PD2</t>
  </si>
  <si>
    <t>PT71PD2 12</t>
  </si>
  <si>
    <t>UN_str.Plamadeala</t>
  </si>
  <si>
    <t>13PD2</t>
  </si>
  <si>
    <t>PT66PD2 13</t>
  </si>
  <si>
    <t>UN_str.Nationala</t>
  </si>
  <si>
    <t>Fabrica de masa plastica</t>
  </si>
  <si>
    <t>SRL"SINDBAD"</t>
  </si>
  <si>
    <t>Danuteni 35/10/6kV</t>
  </si>
  <si>
    <t>1DT</t>
  </si>
  <si>
    <t>PT161DT1</t>
  </si>
  <si>
    <t>str. Burebista</t>
  </si>
  <si>
    <t>2DT</t>
  </si>
  <si>
    <t>PT368DT2</t>
  </si>
  <si>
    <t xml:space="preserve">         </t>
  </si>
  <si>
    <t>PT3DT1</t>
  </si>
  <si>
    <t>PT64DT1</t>
  </si>
  <si>
    <t>str. C.Sterea</t>
  </si>
  <si>
    <t>PT67DT1</t>
  </si>
  <si>
    <t>str. G.Adam</t>
  </si>
  <si>
    <t>PT26DT1</t>
  </si>
  <si>
    <t>PT312DT1</t>
  </si>
  <si>
    <t>Mora</t>
  </si>
  <si>
    <t>II"Victoria Esanu"</t>
  </si>
  <si>
    <t>GT ALCAZ</t>
  </si>
  <si>
    <t>PT46DT1</t>
  </si>
  <si>
    <t>PT23DT1</t>
  </si>
  <si>
    <t>str.Danuteni</t>
  </si>
  <si>
    <t>PT56DT1</t>
  </si>
  <si>
    <t>PT410DT1</t>
  </si>
  <si>
    <t>S33DT1</t>
  </si>
  <si>
    <t>PT96DT1</t>
  </si>
  <si>
    <t>str.N.Iorga</t>
  </si>
  <si>
    <t>statia de pompare</t>
  </si>
  <si>
    <t>IM."APA-CANAL"</t>
  </si>
  <si>
    <t>PT37DT1</t>
  </si>
  <si>
    <t>str.I.Neculce</t>
  </si>
  <si>
    <t>SRL"Scopos"</t>
  </si>
  <si>
    <t>PT4DT1</t>
  </si>
  <si>
    <t>PT78DT1</t>
  </si>
  <si>
    <t>str.Dosoftei</t>
  </si>
  <si>
    <t>PT102DT2</t>
  </si>
  <si>
    <t>str.T.Sobolevschi</t>
  </si>
  <si>
    <t>PT100DT2</t>
  </si>
  <si>
    <t>str.Luciafarul</t>
  </si>
  <si>
    <t>PT287DT2</t>
  </si>
  <si>
    <t>str.P.Rares</t>
  </si>
  <si>
    <t>Depozit Agro</t>
  </si>
  <si>
    <t>SA,,Agrocomert"</t>
  </si>
  <si>
    <t>7DT</t>
  </si>
  <si>
    <t>PT88DT7</t>
  </si>
  <si>
    <t>str.Burebista</t>
  </si>
  <si>
    <t>PT411DT11</t>
  </si>
  <si>
    <t>PT215DT7</t>
  </si>
  <si>
    <t>s.Buzdugana de Sus</t>
  </si>
  <si>
    <t>Terasa-Prut</t>
  </si>
  <si>
    <t>PT343DT7</t>
  </si>
  <si>
    <t>GT"Busila I."</t>
  </si>
  <si>
    <t>PT139DT7</t>
  </si>
  <si>
    <t>PT197DT7</t>
  </si>
  <si>
    <t>Frigider</t>
  </si>
  <si>
    <t>PT203DT7</t>
  </si>
  <si>
    <t>Ungheni-Gaz</t>
  </si>
  <si>
    <t>PT269DT7</t>
  </si>
  <si>
    <t>Statia de irigare nr.21</t>
  </si>
  <si>
    <t>PT270DT7</t>
  </si>
  <si>
    <t>PT122DT7</t>
  </si>
  <si>
    <t>PT140DT7</t>
  </si>
  <si>
    <t>Protectia Catodica</t>
  </si>
  <si>
    <t>PT272DT7</t>
  </si>
  <si>
    <t>Statia de irigare Nr.2</t>
  </si>
  <si>
    <t>PT273DT7</t>
  </si>
  <si>
    <t>PT202DT7</t>
  </si>
  <si>
    <t>8DT</t>
  </si>
  <si>
    <t>PT145DT8</t>
  </si>
  <si>
    <t>extravilanul car. Danuteni</t>
  </si>
  <si>
    <t>Crama</t>
  </si>
  <si>
    <t xml:space="preserve"> II "Scaletchii"</t>
  </si>
  <si>
    <t>PT125DT8</t>
  </si>
  <si>
    <t>MoldTransGaz</t>
  </si>
  <si>
    <t>PT178DT8</t>
  </si>
  <si>
    <t>Casa alba</t>
  </si>
  <si>
    <t>PT198DT8</t>
  </si>
  <si>
    <t>s.Floritoaia Veche</t>
  </si>
  <si>
    <t>GT "Girbea Constanti</t>
  </si>
  <si>
    <t>PT179DT8</t>
  </si>
  <si>
    <t>IS"RADIOCOM"</t>
  </si>
  <si>
    <t>SS93DT8</t>
  </si>
  <si>
    <t>PT247DT8</t>
  </si>
  <si>
    <t>GT"Cerempei Ion"</t>
  </si>
  <si>
    <t>PT390DT8</t>
  </si>
  <si>
    <t>s.Floritoaia Noua</t>
  </si>
  <si>
    <t>Turn de acumulare a apei</t>
  </si>
  <si>
    <t>Primaria Floritoaia Noua</t>
  </si>
  <si>
    <t>PT126DT8</t>
  </si>
  <si>
    <t>PT143DT8</t>
  </si>
  <si>
    <t>PT210DT8</t>
  </si>
  <si>
    <t>PT227DT8</t>
  </si>
  <si>
    <t>PT151DT8</t>
  </si>
  <si>
    <t>PT164DT8</t>
  </si>
  <si>
    <t>PT217DT8</t>
  </si>
  <si>
    <t>PT148DT8</t>
  </si>
  <si>
    <t>PT127DT8</t>
  </si>
  <si>
    <t>PT128DT8</t>
  </si>
  <si>
    <t>PT205DT8</t>
  </si>
  <si>
    <t>Aria</t>
  </si>
  <si>
    <t>PT248DT8</t>
  </si>
  <si>
    <t>PT239DT8</t>
  </si>
  <si>
    <t>Cartierul nou</t>
  </si>
  <si>
    <t>PT219DT8</t>
  </si>
  <si>
    <t>CS125DT8</t>
  </si>
  <si>
    <t>PT168DT8</t>
  </si>
  <si>
    <t>PT195DT8</t>
  </si>
  <si>
    <t>PT141DT8</t>
  </si>
  <si>
    <t>PT130DT8</t>
  </si>
  <si>
    <t xml:space="preserve">Mini ferma </t>
  </si>
  <si>
    <t>II"ECHIM TUDOR"</t>
  </si>
  <si>
    <t>PT220DT8</t>
  </si>
  <si>
    <t>PT132DT8</t>
  </si>
  <si>
    <t>s.Untesti</t>
  </si>
  <si>
    <t>PT175DT8</t>
  </si>
  <si>
    <t>PT169DT8</t>
  </si>
  <si>
    <t>SRL"Victoria"</t>
  </si>
  <si>
    <t>PT133DT8</t>
  </si>
  <si>
    <t>PT707DT8</t>
  </si>
  <si>
    <t>PT174DT8</t>
  </si>
  <si>
    <t>PT213DT8</t>
  </si>
  <si>
    <t>"MOLDCELL"</t>
  </si>
  <si>
    <t>PT131DT8</t>
  </si>
  <si>
    <t>AVC, CTF, STF</t>
  </si>
  <si>
    <t>10DT</t>
  </si>
  <si>
    <t>PT69DT10</t>
  </si>
  <si>
    <t>str.D.A.Teodorovici</t>
  </si>
  <si>
    <t>PD4DT10</t>
  </si>
  <si>
    <t>GT ALCAZ GHEORGHE</t>
  </si>
  <si>
    <t>PT57DT10</t>
  </si>
  <si>
    <t>PT44DT10</t>
  </si>
  <si>
    <t>SRL"Utena"</t>
  </si>
  <si>
    <t>PT153DT10</t>
  </si>
  <si>
    <t>s.Buzdugana de Jos</t>
  </si>
  <si>
    <t>GT "Ojog Valentina'</t>
  </si>
  <si>
    <t>PT119DT10</t>
  </si>
  <si>
    <t>PT296DT10</t>
  </si>
  <si>
    <t>PT289DT10</t>
  </si>
  <si>
    <t>11DT</t>
  </si>
  <si>
    <t>PT92DT11</t>
  </si>
  <si>
    <t>PT80DT11</t>
  </si>
  <si>
    <t>Camin</t>
  </si>
  <si>
    <t>PT86DT11</t>
  </si>
  <si>
    <t>PT85DT11</t>
  </si>
  <si>
    <t>Liceul I.Creanga</t>
  </si>
  <si>
    <t>12DT</t>
  </si>
  <si>
    <t>PT43DT12</t>
  </si>
  <si>
    <t>Cu deconectare</t>
  </si>
  <si>
    <t>Programat</t>
  </si>
  <si>
    <t>Neprogramat</t>
  </si>
  <si>
    <t>05.06.20 13:12</t>
  </si>
  <si>
    <t>05.06.20 13:13</t>
  </si>
  <si>
    <t>05.06.20 13:14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</si>
</sst>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5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</font>
    <font>
      <sz val="18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8"/>
      <name val="Calibri"/>
      <family val="2"/>
      <scheme val="minor"/>
    </font>
    <font>
      <u/>
      <sz val="12"/>
      <color theme="10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charset val="238"/>
      <scheme val="minor"/>
    </font>
    <font>
      <b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04"/>
      <scheme val="minor"/>
    </font>
    <font>
      <b/>
      <sz val="20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1"/>
      <color indexed="8"/>
      <name val="Calibri"/>
      <family val="2"/>
      <charset val="204"/>
    </font>
    <font>
      <b/>
      <sz val="12"/>
      <color indexed="8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20"/>
      <color indexed="8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name val="Arial"/>
      <family val="2"/>
      <charset val="204"/>
    </font>
    <font>
      <b/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</font>
    <font>
      <b/>
      <sz val="12"/>
      <color rgb="FFFF0000"/>
      <name val="Times New Roman"/>
      <family val="1"/>
      <charset val="204"/>
    </font>
    <font>
      <b/>
      <sz val="12"/>
      <color indexed="8"/>
      <name val="Calibri"/>
      <family val="2"/>
      <charset val="204"/>
    </font>
    <font>
      <sz val="16"/>
      <color rgb="FFFFFFFF"/>
      <name val="Calibri"/>
      <family val="2"/>
      <charset val="23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E6B8B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8F86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21FF6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17171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5">
    <xf numFmtId="0" fontId="0" fillId="0" borderId="0">
      <alignment horizontal="left"/>
    </xf>
    <xf numFmtId="0" fontId="10" fillId="0" borderId="0" applyNumberFormat="0" applyFill="0" applyBorder="0" applyAlignment="0" applyProtection="0"/>
    <xf numFmtId="0" fontId="17" fillId="0" borderId="0">
      <alignment horizontal="left"/>
    </xf>
    <xf numFmtId="0" fontId="18" fillId="0" borderId="0"/>
    <xf numFmtId="0" fontId="17" fillId="0" borderId="0"/>
  </cellStyleXfs>
  <cellXfs count="796">
    <xf numFmtId="0" fontId="0" fillId="0" borderId="0" xfId="0">
      <alignment horizontal="left"/>
    </xf>
    <xf numFmtId="0" fontId="1" fillId="0" borderId="0" xfId="0" applyFont="1">
      <alignment horizontal="left"/>
    </xf>
    <xf numFmtId="0" fontId="0" fillId="0" borderId="0" xfId="0" applyAlignment="1">
      <alignment horizontal="left"/>
    </xf>
    <xf numFmtId="0" fontId="0" fillId="0" borderId="0" xfId="0" applyBorder="1">
      <alignment horizontal="left"/>
    </xf>
    <xf numFmtId="0" fontId="2" fillId="3" borderId="0" xfId="0" applyFont="1" applyFill="1" applyBorder="1" applyAlignment="1">
      <alignment vertical="top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2" fillId="0" borderId="0" xfId="0" applyFont="1" applyBorder="1">
      <alignment horizontal="left"/>
    </xf>
    <xf numFmtId="0" fontId="0" fillId="0" borderId="0" xfId="0" applyAlignment="1"/>
    <xf numFmtId="0" fontId="1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2" fillId="0" borderId="0" xfId="0" applyFont="1" applyFill="1" applyBorder="1" applyAlignment="1">
      <alignment horizontal="left"/>
    </xf>
    <xf numFmtId="0" fontId="12" fillId="0" borderId="4" xfId="0" applyFont="1" applyBorder="1" applyAlignment="1">
      <alignment horizontal="center" vertical="center"/>
    </xf>
    <xf numFmtId="0" fontId="7" fillId="0" borderId="0" xfId="0" applyFont="1" applyFill="1" applyBorder="1" applyAlignment="1" applyProtection="1">
      <alignment vertical="center" wrapText="1"/>
    </xf>
    <xf numFmtId="0" fontId="3" fillId="0" borderId="0" xfId="0" applyFont="1" applyBorder="1" applyAlignment="1" applyProtection="1"/>
    <xf numFmtId="0" fontId="3" fillId="0" borderId="0" xfId="0" applyFont="1" applyProtection="1">
      <alignment horizontal="left"/>
    </xf>
    <xf numFmtId="0" fontId="3" fillId="0" borderId="0" xfId="0" applyFont="1" applyBorder="1" applyProtection="1">
      <alignment horizontal="left"/>
    </xf>
    <xf numFmtId="0" fontId="4" fillId="2" borderId="5" xfId="0" applyFont="1" applyFill="1" applyBorder="1" applyAlignment="1" applyProtection="1">
      <alignment horizontal="center" vertical="center"/>
    </xf>
    <xf numFmtId="0" fontId="4" fillId="2" borderId="5" xfId="0" applyFont="1" applyFill="1" applyBorder="1" applyAlignment="1" applyProtection="1">
      <alignment horizontal="center" vertical="center" wrapText="1"/>
    </xf>
    <xf numFmtId="0" fontId="5" fillId="2" borderId="5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left" vertical="center" wrapText="1"/>
    </xf>
    <xf numFmtId="0" fontId="9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6" fillId="0" borderId="0" xfId="0" applyFont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vertical="center" wrapText="1"/>
    </xf>
    <xf numFmtId="0" fontId="16" fillId="0" borderId="4" xfId="0" applyFont="1" applyBorder="1" applyAlignment="1">
      <alignment horizontal="center" vertical="center"/>
    </xf>
    <xf numFmtId="164" fontId="8" fillId="0" borderId="0" xfId="0" applyNumberFormat="1" applyFont="1" applyFill="1" applyBorder="1" applyAlignment="1" applyProtection="1">
      <alignment horizontal="left" vertical="center"/>
    </xf>
    <xf numFmtId="164" fontId="9" fillId="0" borderId="0" xfId="0" applyNumberFormat="1" applyFont="1" applyFill="1" applyBorder="1" applyAlignment="1" applyProtection="1">
      <alignment horizontal="center" vertical="center"/>
    </xf>
    <xf numFmtId="22" fontId="13" fillId="0" borderId="0" xfId="0" applyNumberFormat="1" applyFont="1" applyFill="1" applyBorder="1" applyAlignment="1" applyProtection="1">
      <alignment horizontal="center" vertical="center"/>
    </xf>
    <xf numFmtId="22" fontId="14" fillId="0" borderId="0" xfId="0" applyNumberFormat="1" applyFont="1" applyFill="1" applyBorder="1" applyAlignment="1" applyProtection="1">
      <alignment horizontal="center" vertical="center" wrapText="1"/>
    </xf>
    <xf numFmtId="22" fontId="6" fillId="0" borderId="0" xfId="0" applyNumberFormat="1" applyFont="1" applyFill="1" applyBorder="1" applyAlignment="1" applyProtection="1">
      <alignment vertical="center"/>
    </xf>
    <xf numFmtId="22" fontId="15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left" vertical="top"/>
    </xf>
    <xf numFmtId="0" fontId="12" fillId="0" borderId="4" xfId="0" applyFont="1" applyBorder="1" applyAlignment="1">
      <alignment horizontal="left" vertical="center"/>
    </xf>
    <xf numFmtId="0" fontId="11" fillId="2" borderId="9" xfId="0" applyFont="1" applyFill="1" applyBorder="1" applyAlignment="1" applyProtection="1">
      <alignment horizontal="center" vertical="center" wrapText="1"/>
    </xf>
    <xf numFmtId="49" fontId="4" fillId="2" borderId="5" xfId="0" applyNumberFormat="1" applyFont="1" applyFill="1" applyBorder="1" applyAlignment="1" applyProtection="1">
      <alignment horizontal="center" vertical="center" wrapText="1"/>
    </xf>
    <xf numFmtId="0" fontId="18" fillId="0" borderId="0" xfId="3"/>
    <xf numFmtId="0" fontId="18" fillId="0" borderId="0" xfId="3" applyAlignment="1">
      <alignment horizontal="center"/>
    </xf>
    <xf numFmtId="0" fontId="18" fillId="0" borderId="0" xfId="3" applyAlignment="1">
      <alignment horizontal="center" vertical="center" wrapText="1"/>
    </xf>
    <xf numFmtId="0" fontId="18" fillId="0" borderId="0" xfId="3" applyAlignment="1">
      <alignment horizontal="left" vertical="center"/>
    </xf>
    <xf numFmtId="0" fontId="18" fillId="0" borderId="0" xfId="3" applyAlignment="1">
      <alignment horizontal="center" vertical="center"/>
    </xf>
    <xf numFmtId="0" fontId="23" fillId="0" borderId="0" xfId="3" applyFont="1"/>
    <xf numFmtId="0" fontId="22" fillId="0" borderId="18" xfId="3" applyFont="1" applyBorder="1" applyAlignment="1">
      <alignment horizontal="center" vertical="center" wrapText="1"/>
    </xf>
    <xf numFmtId="0" fontId="22" fillId="0" borderId="12" xfId="3" applyFont="1" applyBorder="1" applyAlignment="1">
      <alignment horizontal="center" vertical="center" wrapText="1"/>
    </xf>
    <xf numFmtId="0" fontId="22" fillId="0" borderId="11" xfId="3" applyFont="1" applyBorder="1" applyAlignment="1">
      <alignment horizontal="center" vertical="center" wrapText="1"/>
    </xf>
    <xf numFmtId="0" fontId="22" fillId="0" borderId="18" xfId="3" applyFont="1" applyBorder="1" applyAlignment="1">
      <alignment horizontal="center" wrapText="1"/>
    </xf>
    <xf numFmtId="0" fontId="23" fillId="0" borderId="10" xfId="3" applyFont="1" applyBorder="1" applyAlignment="1">
      <alignment horizontal="center" vertical="center"/>
    </xf>
    <xf numFmtId="0" fontId="23" fillId="0" borderId="10" xfId="3" applyFont="1" applyBorder="1" applyAlignment="1">
      <alignment horizontal="center"/>
    </xf>
    <xf numFmtId="0" fontId="25" fillId="0" borderId="11" xfId="3" applyFont="1" applyBorder="1" applyAlignment="1">
      <alignment horizontal="center"/>
    </xf>
    <xf numFmtId="0" fontId="25" fillId="0" borderId="11" xfId="3" applyFont="1" applyBorder="1" applyAlignment="1">
      <alignment horizontal="center" vertical="center"/>
    </xf>
    <xf numFmtId="0" fontId="25" fillId="0" borderId="12" xfId="3" applyFont="1" applyBorder="1" applyAlignment="1">
      <alignment horizontal="center"/>
    </xf>
    <xf numFmtId="0" fontId="25" fillId="0" borderId="18" xfId="3" applyFont="1" applyBorder="1" applyAlignment="1">
      <alignment horizontal="center"/>
    </xf>
    <xf numFmtId="0" fontId="25" fillId="0" borderId="18" xfId="3" applyFont="1" applyBorder="1" applyAlignment="1">
      <alignment horizontal="center" vertical="center"/>
    </xf>
    <xf numFmtId="0" fontId="25" fillId="0" borderId="12" xfId="3" applyFont="1" applyBorder="1" applyAlignment="1">
      <alignment horizontal="center" vertical="center" wrapText="1"/>
    </xf>
    <xf numFmtId="0" fontId="26" fillId="0" borderId="12" xfId="3" applyFont="1" applyBorder="1" applyAlignment="1">
      <alignment horizontal="center" vertical="center" wrapText="1"/>
    </xf>
    <xf numFmtId="0" fontId="23" fillId="0" borderId="19" xfId="3" applyFont="1" applyBorder="1" applyAlignment="1">
      <alignment horizontal="center" vertical="center"/>
    </xf>
    <xf numFmtId="0" fontId="25" fillId="4" borderId="19" xfId="3" applyFont="1" applyFill="1" applyBorder="1" applyAlignment="1">
      <alignment horizontal="center"/>
    </xf>
    <xf numFmtId="0" fontId="25" fillId="4" borderId="20" xfId="3" applyFont="1" applyFill="1" applyBorder="1" applyAlignment="1">
      <alignment horizontal="center"/>
    </xf>
    <xf numFmtId="0" fontId="25" fillId="0" borderId="1" xfId="3" applyFont="1" applyBorder="1" applyAlignment="1">
      <alignment horizontal="center" vertical="center"/>
    </xf>
    <xf numFmtId="0" fontId="22" fillId="0" borderId="20" xfId="3" applyFont="1" applyBorder="1" applyAlignment="1">
      <alignment horizontal="center" vertical="center" wrapText="1"/>
    </xf>
    <xf numFmtId="0" fontId="22" fillId="0" borderId="19" xfId="3" applyFont="1" applyBorder="1" applyAlignment="1">
      <alignment horizontal="center" vertical="center" wrapText="1"/>
    </xf>
    <xf numFmtId="0" fontId="22" fillId="0" borderId="21" xfId="3" applyFont="1" applyBorder="1" applyAlignment="1">
      <alignment horizontal="center" vertical="center" wrapText="1"/>
    </xf>
    <xf numFmtId="0" fontId="25" fillId="0" borderId="22" xfId="3" applyFont="1" applyBorder="1" applyAlignment="1">
      <alignment horizontal="center"/>
    </xf>
    <xf numFmtId="0" fontId="25" fillId="0" borderId="20" xfId="3" applyFont="1" applyBorder="1" applyAlignment="1">
      <alignment horizontal="center"/>
    </xf>
    <xf numFmtId="0" fontId="25" fillId="0" borderId="20" xfId="3" applyFont="1" applyBorder="1" applyAlignment="1">
      <alignment horizontal="center" vertical="center"/>
    </xf>
    <xf numFmtId="0" fontId="25" fillId="0" borderId="22" xfId="3" applyFont="1" applyBorder="1" applyAlignment="1">
      <alignment horizontal="center" vertical="center" wrapText="1"/>
    </xf>
    <xf numFmtId="0" fontId="25" fillId="0" borderId="19" xfId="3" applyFont="1" applyBorder="1" applyAlignment="1">
      <alignment horizontal="center"/>
    </xf>
    <xf numFmtId="0" fontId="23" fillId="0" borderId="23" xfId="3" applyFont="1" applyBorder="1" applyAlignment="1">
      <alignment horizontal="center" vertical="center"/>
    </xf>
    <xf numFmtId="0" fontId="25" fillId="4" borderId="23" xfId="3" applyFont="1" applyFill="1" applyBorder="1" applyAlignment="1">
      <alignment horizontal="center"/>
    </xf>
    <xf numFmtId="0" fontId="25" fillId="4" borderId="24" xfId="3" applyFont="1" applyFill="1" applyBorder="1" applyAlignment="1">
      <alignment horizontal="center"/>
    </xf>
    <xf numFmtId="0" fontId="25" fillId="0" borderId="7" xfId="3" applyFont="1" applyBorder="1" applyAlignment="1">
      <alignment horizontal="center" vertical="center"/>
    </xf>
    <xf numFmtId="0" fontId="22" fillId="0" borderId="24" xfId="3" applyFont="1" applyBorder="1" applyAlignment="1">
      <alignment horizontal="center" vertical="center" wrapText="1"/>
    </xf>
    <xf numFmtId="0" fontId="22" fillId="0" borderId="23" xfId="3" applyFont="1" applyBorder="1" applyAlignment="1">
      <alignment horizontal="center" vertical="center" wrapText="1"/>
    </xf>
    <xf numFmtId="0" fontId="22" fillId="0" borderId="25" xfId="3" applyFont="1" applyBorder="1" applyAlignment="1">
      <alignment horizontal="center" vertical="center" wrapText="1"/>
    </xf>
    <xf numFmtId="0" fontId="25" fillId="0" borderId="26" xfId="3" applyFont="1" applyBorder="1" applyAlignment="1">
      <alignment horizontal="center"/>
    </xf>
    <xf numFmtId="0" fontId="25" fillId="0" borderId="24" xfId="3" applyFont="1" applyBorder="1" applyAlignment="1">
      <alignment horizontal="center"/>
    </xf>
    <xf numFmtId="0" fontId="25" fillId="0" borderId="26" xfId="3" applyFont="1" applyBorder="1"/>
    <xf numFmtId="0" fontId="25" fillId="0" borderId="24" xfId="3" applyFont="1" applyBorder="1" applyAlignment="1">
      <alignment horizontal="center" vertical="center"/>
    </xf>
    <xf numFmtId="0" fontId="25" fillId="0" borderId="27" xfId="3" applyFont="1" applyBorder="1" applyAlignment="1">
      <alignment horizontal="center" vertical="center" wrapText="1"/>
    </xf>
    <xf numFmtId="0" fontId="26" fillId="0" borderId="26" xfId="3" applyFont="1" applyBorder="1" applyAlignment="1">
      <alignment horizontal="center" vertical="center" wrapText="1"/>
    </xf>
    <xf numFmtId="0" fontId="25" fillId="0" borderId="23" xfId="3" applyFont="1" applyBorder="1" applyAlignment="1">
      <alignment horizontal="center"/>
    </xf>
    <xf numFmtId="0" fontId="23" fillId="0" borderId="24" xfId="3" applyFont="1" applyBorder="1" applyAlignment="1">
      <alignment horizontal="center" vertical="center"/>
    </xf>
    <xf numFmtId="0" fontId="25" fillId="0" borderId="26" xfId="3" applyFont="1" applyBorder="1" applyAlignment="1">
      <alignment horizontal="center" vertical="center" wrapText="1"/>
    </xf>
    <xf numFmtId="0" fontId="25" fillId="5" borderId="26" xfId="3" applyFont="1" applyFill="1" applyBorder="1" applyAlignment="1">
      <alignment horizontal="center"/>
    </xf>
    <xf numFmtId="0" fontId="25" fillId="5" borderId="24" xfId="3" applyFont="1" applyFill="1" applyBorder="1" applyAlignment="1">
      <alignment horizontal="center"/>
    </xf>
    <xf numFmtId="0" fontId="25" fillId="5" borderId="26" xfId="3" applyFont="1" applyFill="1" applyBorder="1"/>
    <xf numFmtId="0" fontId="25" fillId="5" borderId="24" xfId="3" applyFont="1" applyFill="1" applyBorder="1" applyAlignment="1">
      <alignment horizontal="center" vertical="center"/>
    </xf>
    <xf numFmtId="0" fontId="25" fillId="5" borderId="27" xfId="3" applyFont="1" applyFill="1" applyBorder="1" applyAlignment="1">
      <alignment horizontal="center" vertical="center" wrapText="1"/>
    </xf>
    <xf numFmtId="0" fontId="25" fillId="6" borderId="24" xfId="3" applyFont="1" applyFill="1" applyBorder="1" applyAlignment="1">
      <alignment horizontal="center"/>
    </xf>
    <xf numFmtId="0" fontId="25" fillId="6" borderId="26" xfId="3" applyFont="1" applyFill="1" applyBorder="1" applyAlignment="1">
      <alignment horizontal="center"/>
    </xf>
    <xf numFmtId="0" fontId="25" fillId="5" borderId="23" xfId="3" applyFont="1" applyFill="1" applyBorder="1" applyAlignment="1">
      <alignment horizontal="center"/>
    </xf>
    <xf numFmtId="0" fontId="23" fillId="6" borderId="23" xfId="3" applyFont="1" applyFill="1" applyBorder="1" applyAlignment="1">
      <alignment horizontal="center" vertical="center"/>
    </xf>
    <xf numFmtId="0" fontId="23" fillId="6" borderId="24" xfId="3" applyFont="1" applyFill="1" applyBorder="1" applyAlignment="1">
      <alignment horizontal="center" vertical="center"/>
    </xf>
    <xf numFmtId="0" fontId="22" fillId="0" borderId="28" xfId="3" applyFont="1" applyBorder="1" applyAlignment="1">
      <alignment horizontal="center" vertical="center" wrapText="1"/>
    </xf>
    <xf numFmtId="0" fontId="22" fillId="0" borderId="29" xfId="3" applyFont="1" applyBorder="1" applyAlignment="1">
      <alignment horizontal="center" vertical="center" wrapText="1"/>
    </xf>
    <xf numFmtId="0" fontId="22" fillId="0" borderId="30" xfId="3" applyFont="1" applyBorder="1" applyAlignment="1">
      <alignment horizontal="center" vertical="center" wrapText="1"/>
    </xf>
    <xf numFmtId="0" fontId="25" fillId="5" borderId="31" xfId="3" applyFont="1" applyFill="1" applyBorder="1" applyAlignment="1">
      <alignment horizontal="center"/>
    </xf>
    <xf numFmtId="0" fontId="25" fillId="5" borderId="28" xfId="3" applyFont="1" applyFill="1" applyBorder="1" applyAlignment="1">
      <alignment horizontal="center"/>
    </xf>
    <xf numFmtId="0" fontId="25" fillId="5" borderId="31" xfId="3" applyFont="1" applyFill="1" applyBorder="1"/>
    <xf numFmtId="0" fontId="25" fillId="5" borderId="28" xfId="3" applyFont="1" applyFill="1" applyBorder="1" applyAlignment="1">
      <alignment horizontal="center" vertical="center"/>
    </xf>
    <xf numFmtId="0" fontId="25" fillId="5" borderId="0" xfId="3" applyFont="1" applyFill="1" applyAlignment="1">
      <alignment horizontal="center" vertical="center" wrapText="1"/>
    </xf>
    <xf numFmtId="0" fontId="25" fillId="5" borderId="4" xfId="3" applyFont="1" applyFill="1" applyBorder="1" applyAlignment="1">
      <alignment horizontal="center"/>
    </xf>
    <xf numFmtId="0" fontId="25" fillId="5" borderId="4" xfId="3" applyFont="1" applyFill="1" applyBorder="1" applyAlignment="1">
      <alignment horizontal="center" vertical="center" wrapText="1"/>
    </xf>
    <xf numFmtId="0" fontId="25" fillId="5" borderId="32" xfId="3" applyFont="1" applyFill="1" applyBorder="1" applyAlignment="1">
      <alignment horizontal="center"/>
    </xf>
    <xf numFmtId="0" fontId="27" fillId="5" borderId="31" xfId="3" applyFont="1" applyFill="1" applyBorder="1" applyAlignment="1">
      <alignment horizontal="center" vertical="center"/>
    </xf>
    <xf numFmtId="0" fontId="25" fillId="7" borderId="28" xfId="3" applyFont="1" applyFill="1" applyBorder="1" applyAlignment="1">
      <alignment horizontal="center" vertical="center"/>
    </xf>
    <xf numFmtId="0" fontId="25" fillId="7" borderId="31" xfId="3" applyFont="1" applyFill="1" applyBorder="1" applyAlignment="1">
      <alignment vertical="center"/>
    </xf>
    <xf numFmtId="0" fontId="25" fillId="7" borderId="4" xfId="3" applyFont="1" applyFill="1" applyBorder="1" applyAlignment="1">
      <alignment horizontal="center" vertical="center"/>
    </xf>
    <xf numFmtId="0" fontId="25" fillId="7" borderId="4" xfId="3" applyFont="1" applyFill="1" applyBorder="1" applyAlignment="1">
      <alignment horizontal="center" vertical="center" wrapText="1"/>
    </xf>
    <xf numFmtId="0" fontId="25" fillId="7" borderId="31" xfId="3" applyFont="1" applyFill="1" applyBorder="1" applyAlignment="1">
      <alignment horizontal="center" vertical="center"/>
    </xf>
    <xf numFmtId="0" fontId="25" fillId="5" borderId="4" xfId="3" applyFont="1" applyFill="1" applyBorder="1" applyAlignment="1">
      <alignment horizontal="center" vertical="center"/>
    </xf>
    <xf numFmtId="0" fontId="25" fillId="5" borderId="32" xfId="3" applyFont="1" applyFill="1" applyBorder="1" applyAlignment="1">
      <alignment horizontal="center" wrapText="1"/>
    </xf>
    <xf numFmtId="0" fontId="25" fillId="7" borderId="23" xfId="3" applyFont="1" applyFill="1" applyBorder="1" applyAlignment="1">
      <alignment horizontal="center" vertical="center"/>
    </xf>
    <xf numFmtId="0" fontId="25" fillId="7" borderId="24" xfId="3" applyFont="1" applyFill="1" applyBorder="1" applyAlignment="1">
      <alignment horizontal="center" vertical="center"/>
    </xf>
    <xf numFmtId="0" fontId="27" fillId="0" borderId="22" xfId="3" applyFont="1" applyBorder="1" applyAlignment="1">
      <alignment horizontal="center"/>
    </xf>
    <xf numFmtId="0" fontId="25" fillId="0" borderId="23" xfId="3" applyFont="1" applyBorder="1"/>
    <xf numFmtId="0" fontId="25" fillId="0" borderId="33" xfId="3" applyFont="1" applyBorder="1" applyAlignment="1">
      <alignment horizontal="center" vertical="center"/>
    </xf>
    <xf numFmtId="0" fontId="25" fillId="0" borderId="34" xfId="3" applyFont="1" applyBorder="1" applyAlignment="1">
      <alignment horizontal="center" vertical="center" wrapText="1"/>
    </xf>
    <xf numFmtId="0" fontId="25" fillId="0" borderId="33" xfId="3" applyFont="1" applyBorder="1" applyAlignment="1">
      <alignment horizontal="center"/>
    </xf>
    <xf numFmtId="0" fontId="25" fillId="0" borderId="33" xfId="3" applyFont="1" applyBorder="1" applyAlignment="1">
      <alignment horizontal="center" vertical="center" wrapText="1"/>
    </xf>
    <xf numFmtId="0" fontId="25" fillId="8" borderId="17" xfId="3" applyFont="1" applyFill="1" applyBorder="1" applyAlignment="1">
      <alignment horizontal="center"/>
    </xf>
    <xf numFmtId="0" fontId="25" fillId="8" borderId="15" xfId="3" applyFont="1" applyFill="1" applyBorder="1" applyAlignment="1">
      <alignment horizontal="center"/>
    </xf>
    <xf numFmtId="0" fontId="25" fillId="8" borderId="17" xfId="3" applyFont="1" applyFill="1" applyBorder="1"/>
    <xf numFmtId="0" fontId="25" fillId="8" borderId="15" xfId="3" applyFont="1" applyFill="1" applyBorder="1" applyAlignment="1">
      <alignment horizontal="center" vertical="center"/>
    </xf>
    <xf numFmtId="0" fontId="25" fillId="8" borderId="17" xfId="3" applyFont="1" applyFill="1" applyBorder="1" applyAlignment="1">
      <alignment horizontal="center" vertical="center" wrapText="1"/>
    </xf>
    <xf numFmtId="0" fontId="25" fillId="8" borderId="16" xfId="3" applyFont="1" applyFill="1" applyBorder="1" applyAlignment="1">
      <alignment horizontal="center"/>
    </xf>
    <xf numFmtId="0" fontId="23" fillId="8" borderId="23" xfId="3" applyFont="1" applyFill="1" applyBorder="1" applyAlignment="1">
      <alignment horizontal="center" vertical="center"/>
    </xf>
    <xf numFmtId="0" fontId="23" fillId="8" borderId="24" xfId="3" applyFont="1" applyFill="1" applyBorder="1" applyAlignment="1">
      <alignment horizontal="center" vertical="center"/>
    </xf>
    <xf numFmtId="0" fontId="22" fillId="0" borderId="14" xfId="3" applyFont="1" applyBorder="1" applyAlignment="1">
      <alignment horizontal="center" vertical="center" wrapText="1"/>
    </xf>
    <xf numFmtId="0" fontId="22" fillId="0" borderId="7" xfId="3" applyFont="1" applyBorder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0" fontId="27" fillId="0" borderId="26" xfId="3" applyFont="1" applyBorder="1" applyAlignment="1">
      <alignment horizontal="center"/>
    </xf>
    <xf numFmtId="0" fontId="27" fillId="0" borderId="24" xfId="3" applyFont="1" applyBorder="1" applyAlignment="1">
      <alignment horizontal="center"/>
    </xf>
    <xf numFmtId="0" fontId="27" fillId="0" borderId="26" xfId="3" applyFont="1" applyBorder="1"/>
    <xf numFmtId="0" fontId="27" fillId="0" borderId="34" xfId="3" applyFont="1" applyBorder="1" applyAlignment="1">
      <alignment horizontal="center" vertical="center"/>
    </xf>
    <xf numFmtId="0" fontId="27" fillId="0" borderId="27" xfId="3" applyFont="1" applyBorder="1" applyAlignment="1">
      <alignment horizontal="center" vertical="center" wrapText="1"/>
    </xf>
    <xf numFmtId="0" fontId="27" fillId="0" borderId="34" xfId="3" applyFont="1" applyBorder="1" applyAlignment="1">
      <alignment horizontal="center"/>
    </xf>
    <xf numFmtId="0" fontId="27" fillId="6" borderId="26" xfId="3" applyFont="1" applyFill="1" applyBorder="1" applyAlignment="1">
      <alignment horizontal="center"/>
    </xf>
    <xf numFmtId="0" fontId="27" fillId="0" borderId="26" xfId="3" applyFont="1" applyBorder="1" applyAlignment="1">
      <alignment horizontal="center" vertical="center" wrapText="1"/>
    </xf>
    <xf numFmtId="0" fontId="27" fillId="0" borderId="23" xfId="3" applyFont="1" applyBorder="1" applyAlignment="1">
      <alignment horizontal="center"/>
    </xf>
    <xf numFmtId="0" fontId="25" fillId="5" borderId="26" xfId="3" applyFont="1" applyFill="1" applyBorder="1" applyAlignment="1">
      <alignment horizontal="center" vertical="center" wrapText="1"/>
    </xf>
    <xf numFmtId="0" fontId="22" fillId="0" borderId="34" xfId="3" applyFont="1" applyBorder="1" applyAlignment="1">
      <alignment horizontal="center" vertical="center" wrapText="1"/>
    </xf>
    <xf numFmtId="0" fontId="22" fillId="0" borderId="33" xfId="3" applyFont="1" applyBorder="1" applyAlignment="1">
      <alignment horizontal="center" vertical="center" wrapText="1"/>
    </xf>
    <xf numFmtId="0" fontId="22" fillId="0" borderId="35" xfId="3" applyFont="1" applyBorder="1" applyAlignment="1">
      <alignment horizontal="center" vertical="center" wrapText="1"/>
    </xf>
    <xf numFmtId="0" fontId="25" fillId="0" borderId="27" xfId="3" applyFont="1" applyBorder="1" applyAlignment="1">
      <alignment horizontal="center"/>
    </xf>
    <xf numFmtId="0" fontId="25" fillId="0" borderId="34" xfId="3" applyFont="1" applyBorder="1" applyAlignment="1">
      <alignment horizontal="center"/>
    </xf>
    <xf numFmtId="0" fontId="25" fillId="0" borderId="27" xfId="3" applyFont="1" applyBorder="1"/>
    <xf numFmtId="0" fontId="25" fillId="0" borderId="34" xfId="3" applyFont="1" applyBorder="1" applyAlignment="1">
      <alignment horizontal="center" vertical="center"/>
    </xf>
    <xf numFmtId="0" fontId="27" fillId="0" borderId="23" xfId="3" applyFont="1" applyBorder="1" applyAlignment="1">
      <alignment horizontal="center" vertical="center" wrapText="1"/>
    </xf>
    <xf numFmtId="0" fontId="25" fillId="3" borderId="26" xfId="3" applyFont="1" applyFill="1" applyBorder="1" applyAlignment="1">
      <alignment horizontal="center" vertical="center" wrapText="1"/>
    </xf>
    <xf numFmtId="0" fontId="25" fillId="8" borderId="31" xfId="3" applyFont="1" applyFill="1" applyBorder="1" applyAlignment="1">
      <alignment horizontal="center"/>
    </xf>
    <xf numFmtId="0" fontId="25" fillId="8" borderId="28" xfId="3" applyFont="1" applyFill="1" applyBorder="1" applyAlignment="1">
      <alignment horizontal="center"/>
    </xf>
    <xf numFmtId="0" fontId="25" fillId="8" borderId="31" xfId="3" applyFont="1" applyFill="1" applyBorder="1"/>
    <xf numFmtId="0" fontId="25" fillId="8" borderId="28" xfId="3" applyFont="1" applyFill="1" applyBorder="1" applyAlignment="1">
      <alignment horizontal="center" vertical="center"/>
    </xf>
    <xf numFmtId="0" fontId="25" fillId="8" borderId="24" xfId="3" applyFont="1" applyFill="1" applyBorder="1" applyAlignment="1">
      <alignment horizontal="center" vertical="center" wrapText="1"/>
    </xf>
    <xf numFmtId="0" fontId="25" fillId="8" borderId="31" xfId="3" applyFont="1" applyFill="1" applyBorder="1" applyAlignment="1">
      <alignment horizontal="center" vertical="center" wrapText="1"/>
    </xf>
    <xf numFmtId="0" fontId="25" fillId="8" borderId="29" xfId="3" applyFont="1" applyFill="1" applyBorder="1" applyAlignment="1">
      <alignment horizontal="center"/>
    </xf>
    <xf numFmtId="0" fontId="25" fillId="8" borderId="23" xfId="3" applyFont="1" applyFill="1" applyBorder="1" applyAlignment="1">
      <alignment horizontal="center"/>
    </xf>
    <xf numFmtId="0" fontId="25" fillId="8" borderId="24" xfId="3" applyFont="1" applyFill="1" applyBorder="1" applyAlignment="1">
      <alignment horizontal="center"/>
    </xf>
    <xf numFmtId="0" fontId="27" fillId="8" borderId="26" xfId="3" applyFont="1" applyFill="1" applyBorder="1" applyAlignment="1">
      <alignment horizontal="center"/>
    </xf>
    <xf numFmtId="0" fontId="27" fillId="8" borderId="24" xfId="3" applyFont="1" applyFill="1" applyBorder="1" applyAlignment="1">
      <alignment horizontal="center"/>
    </xf>
    <xf numFmtId="0" fontId="27" fillId="8" borderId="25" xfId="3" applyFont="1" applyFill="1" applyBorder="1" applyAlignment="1">
      <alignment horizontal="center" vertical="center" wrapText="1"/>
    </xf>
    <xf numFmtId="0" fontId="27" fillId="8" borderId="24" xfId="3" applyFont="1" applyFill="1" applyBorder="1" applyAlignment="1">
      <alignment horizontal="center" vertical="center"/>
    </xf>
    <xf numFmtId="0" fontId="27" fillId="8" borderId="27" xfId="3" applyFont="1" applyFill="1" applyBorder="1" applyAlignment="1">
      <alignment horizontal="center" vertical="center" wrapText="1"/>
    </xf>
    <xf numFmtId="0" fontId="28" fillId="8" borderId="26" xfId="3" applyFont="1" applyFill="1" applyBorder="1" applyAlignment="1">
      <alignment horizontal="center" vertical="center" wrapText="1"/>
    </xf>
    <xf numFmtId="0" fontId="28" fillId="8" borderId="23" xfId="3" applyFont="1" applyFill="1" applyBorder="1" applyAlignment="1">
      <alignment horizontal="center"/>
    </xf>
    <xf numFmtId="0" fontId="27" fillId="8" borderId="23" xfId="3" applyFont="1" applyFill="1" applyBorder="1" applyAlignment="1">
      <alignment horizontal="center"/>
    </xf>
    <xf numFmtId="0" fontId="27" fillId="8" borderId="20" xfId="3" applyFont="1" applyFill="1" applyBorder="1" applyAlignment="1">
      <alignment horizontal="center"/>
    </xf>
    <xf numFmtId="0" fontId="27" fillId="8" borderId="22" xfId="3" applyFont="1" applyFill="1" applyBorder="1"/>
    <xf numFmtId="0" fontId="27" fillId="8" borderId="20" xfId="3" applyFont="1" applyFill="1" applyBorder="1" applyAlignment="1">
      <alignment horizontal="center" vertical="center"/>
    </xf>
    <xf numFmtId="0" fontId="27" fillId="8" borderId="22" xfId="3" applyFont="1" applyFill="1" applyBorder="1" applyAlignment="1">
      <alignment horizontal="center"/>
    </xf>
    <xf numFmtId="0" fontId="25" fillId="8" borderId="22" xfId="3" applyFont="1" applyFill="1" applyBorder="1" applyAlignment="1">
      <alignment horizontal="center" vertical="center" wrapText="1"/>
    </xf>
    <xf numFmtId="0" fontId="25" fillId="8" borderId="19" xfId="3" applyFont="1" applyFill="1" applyBorder="1" applyAlignment="1">
      <alignment horizontal="center"/>
    </xf>
    <xf numFmtId="0" fontId="25" fillId="0" borderId="22" xfId="3" applyFont="1" applyBorder="1"/>
    <xf numFmtId="0" fontId="25" fillId="0" borderId="36" xfId="3" applyFont="1" applyBorder="1" applyAlignment="1">
      <alignment horizontal="center"/>
    </xf>
    <xf numFmtId="0" fontId="25" fillId="0" borderId="37" xfId="3" applyFont="1" applyBorder="1" applyAlignment="1">
      <alignment horizontal="center"/>
    </xf>
    <xf numFmtId="0" fontId="25" fillId="0" borderId="36" xfId="3" applyFont="1" applyBorder="1"/>
    <xf numFmtId="0" fontId="25" fillId="0" borderId="37" xfId="3" applyFont="1" applyBorder="1" applyAlignment="1">
      <alignment horizontal="center" vertical="center"/>
    </xf>
    <xf numFmtId="0" fontId="25" fillId="0" borderId="36" xfId="3" applyFont="1" applyBorder="1" applyAlignment="1">
      <alignment horizontal="center" vertical="center" wrapText="1"/>
    </xf>
    <xf numFmtId="0" fontId="25" fillId="0" borderId="38" xfId="3" applyFont="1" applyBorder="1" applyAlignment="1">
      <alignment horizontal="center"/>
    </xf>
    <xf numFmtId="0" fontId="22" fillId="0" borderId="22" xfId="3" applyFont="1" applyBorder="1" applyAlignment="1">
      <alignment horizontal="center" vertical="center" wrapText="1"/>
    </xf>
    <xf numFmtId="0" fontId="22" fillId="0" borderId="26" xfId="3" applyFont="1" applyBorder="1" applyAlignment="1">
      <alignment horizontal="center" vertical="center" wrapText="1"/>
    </xf>
    <xf numFmtId="0" fontId="22" fillId="0" borderId="26" xfId="3" applyFont="1" applyBorder="1"/>
    <xf numFmtId="0" fontId="23" fillId="5" borderId="24" xfId="3" applyFont="1" applyFill="1" applyBorder="1" applyAlignment="1">
      <alignment horizontal="center" vertical="center"/>
    </xf>
    <xf numFmtId="0" fontId="23" fillId="4" borderId="23" xfId="3" applyFont="1" applyFill="1" applyBorder="1" applyAlignment="1">
      <alignment horizontal="center" vertical="center"/>
    </xf>
    <xf numFmtId="0" fontId="22" fillId="0" borderId="37" xfId="3" applyFont="1" applyBorder="1" applyAlignment="1">
      <alignment horizontal="center" vertical="center" wrapText="1"/>
    </xf>
    <xf numFmtId="0" fontId="22" fillId="0" borderId="36" xfId="3" applyFont="1" applyBorder="1" applyAlignment="1">
      <alignment horizontal="center" vertical="center" wrapText="1"/>
    </xf>
    <xf numFmtId="0" fontId="25" fillId="5" borderId="36" xfId="3" applyFont="1" applyFill="1" applyBorder="1" applyAlignment="1">
      <alignment horizontal="center"/>
    </xf>
    <xf numFmtId="0" fontId="25" fillId="5" borderId="37" xfId="3" applyFont="1" applyFill="1" applyBorder="1" applyAlignment="1">
      <alignment horizontal="center"/>
    </xf>
    <xf numFmtId="0" fontId="25" fillId="5" borderId="36" xfId="3" applyFont="1" applyFill="1" applyBorder="1"/>
    <xf numFmtId="0" fontId="25" fillId="5" borderId="37" xfId="3" applyFont="1" applyFill="1" applyBorder="1" applyAlignment="1">
      <alignment horizontal="center" vertical="center"/>
    </xf>
    <xf numFmtId="0" fontId="25" fillId="5" borderId="36" xfId="3" applyFont="1" applyFill="1" applyBorder="1" applyAlignment="1">
      <alignment horizontal="center" vertical="center" wrapText="1"/>
    </xf>
    <xf numFmtId="0" fontId="25" fillId="5" borderId="17" xfId="3" applyFont="1" applyFill="1" applyBorder="1"/>
    <xf numFmtId="0" fontId="25" fillId="5" borderId="38" xfId="3" applyFont="1" applyFill="1" applyBorder="1" applyAlignment="1">
      <alignment horizontal="center"/>
    </xf>
    <xf numFmtId="0" fontId="25" fillId="0" borderId="2" xfId="3" applyFont="1" applyBorder="1"/>
    <xf numFmtId="0" fontId="29" fillId="3" borderId="0" xfId="4" applyFont="1" applyFill="1"/>
    <xf numFmtId="0" fontId="29" fillId="3" borderId="0" xfId="4" applyFont="1" applyFill="1" applyAlignment="1">
      <alignment horizontal="center"/>
    </xf>
    <xf numFmtId="0" fontId="27" fillId="3" borderId="0" xfId="4" applyFont="1" applyFill="1" applyAlignment="1">
      <alignment wrapText="1"/>
    </xf>
    <xf numFmtId="0" fontId="27" fillId="3" borderId="0" xfId="4" applyFont="1" applyFill="1"/>
    <xf numFmtId="0" fontId="29" fillId="0" borderId="0" xfId="4" applyFont="1"/>
    <xf numFmtId="0" fontId="29" fillId="0" borderId="0" xfId="4" applyFont="1" applyAlignment="1">
      <alignment horizontal="center"/>
    </xf>
    <xf numFmtId="0" fontId="27" fillId="0" borderId="0" xfId="4" applyFont="1" applyAlignment="1">
      <alignment wrapText="1"/>
    </xf>
    <xf numFmtId="0" fontId="27" fillId="0" borderId="0" xfId="4" applyFont="1"/>
    <xf numFmtId="0" fontId="25" fillId="0" borderId="31" xfId="3" applyFont="1" applyBorder="1" applyAlignment="1">
      <alignment horizontal="center"/>
    </xf>
    <xf numFmtId="0" fontId="25" fillId="0" borderId="28" xfId="3" applyFont="1" applyBorder="1" applyAlignment="1">
      <alignment horizontal="center"/>
    </xf>
    <xf numFmtId="0" fontId="25" fillId="0" borderId="31" xfId="3" applyFont="1" applyBorder="1"/>
    <xf numFmtId="0" fontId="25" fillId="0" borderId="28" xfId="3" applyFont="1" applyBorder="1" applyAlignment="1">
      <alignment horizontal="center" vertical="center"/>
    </xf>
    <xf numFmtId="0" fontId="25" fillId="0" borderId="0" xfId="3" applyFont="1" applyAlignment="1">
      <alignment horizontal="center" vertical="center" wrapText="1"/>
    </xf>
    <xf numFmtId="0" fontId="25" fillId="0" borderId="29" xfId="3" applyFont="1" applyBorder="1" applyAlignment="1">
      <alignment horizontal="center"/>
    </xf>
    <xf numFmtId="0" fontId="22" fillId="0" borderId="39" xfId="3" applyFont="1" applyBorder="1" applyAlignment="1">
      <alignment horizontal="center" vertical="center" wrapText="1"/>
    </xf>
    <xf numFmtId="0" fontId="25" fillId="0" borderId="17" xfId="3" applyFont="1" applyBorder="1" applyAlignment="1">
      <alignment horizontal="center" vertical="center" wrapText="1"/>
    </xf>
    <xf numFmtId="0" fontId="22" fillId="0" borderId="41" xfId="3" applyFont="1" applyBorder="1" applyAlignment="1">
      <alignment horizontal="center" vertical="center"/>
    </xf>
    <xf numFmtId="0" fontId="22" fillId="0" borderId="27" xfId="3" applyFont="1" applyBorder="1" applyAlignment="1">
      <alignment horizontal="center" vertical="center" wrapText="1"/>
    </xf>
    <xf numFmtId="0" fontId="22" fillId="0" borderId="34" xfId="3" applyFont="1" applyBorder="1" applyAlignment="1">
      <alignment horizontal="center" vertical="center"/>
    </xf>
    <xf numFmtId="0" fontId="25" fillId="5" borderId="27" xfId="3" applyFont="1" applyFill="1" applyBorder="1" applyAlignment="1">
      <alignment horizontal="center"/>
    </xf>
    <xf numFmtId="0" fontId="25" fillId="5" borderId="34" xfId="3" applyFont="1" applyFill="1" applyBorder="1" applyAlignment="1">
      <alignment horizontal="center"/>
    </xf>
    <xf numFmtId="0" fontId="25" fillId="5" borderId="27" xfId="3" applyFont="1" applyFill="1" applyBorder="1"/>
    <xf numFmtId="0" fontId="25" fillId="5" borderId="34" xfId="3" applyFont="1" applyFill="1" applyBorder="1"/>
    <xf numFmtId="0" fontId="25" fillId="6" borderId="34" xfId="3" applyFont="1" applyFill="1" applyBorder="1" applyAlignment="1">
      <alignment horizontal="center"/>
    </xf>
    <xf numFmtId="0" fontId="25" fillId="6" borderId="27" xfId="3" applyFont="1" applyFill="1" applyBorder="1" applyAlignment="1">
      <alignment horizontal="center"/>
    </xf>
    <xf numFmtId="0" fontId="25" fillId="5" borderId="0" xfId="3" applyFont="1" applyFill="1" applyAlignment="1">
      <alignment horizontal="center"/>
    </xf>
    <xf numFmtId="0" fontId="25" fillId="5" borderId="33" xfId="3" applyFont="1" applyFill="1" applyBorder="1" applyAlignment="1">
      <alignment horizontal="center"/>
    </xf>
    <xf numFmtId="0" fontId="22" fillId="0" borderId="32" xfId="3" applyFont="1" applyBorder="1" applyAlignment="1">
      <alignment horizontal="center" vertical="center"/>
    </xf>
    <xf numFmtId="0" fontId="22" fillId="0" borderId="24" xfId="3" applyFont="1" applyBorder="1" applyAlignment="1">
      <alignment horizontal="center" vertical="center"/>
    </xf>
    <xf numFmtId="0" fontId="25" fillId="5" borderId="24" xfId="3" applyFont="1" applyFill="1" applyBorder="1"/>
    <xf numFmtId="0" fontId="25" fillId="0" borderId="24" xfId="3" applyFont="1" applyBorder="1"/>
    <xf numFmtId="0" fontId="22" fillId="0" borderId="43" xfId="3" applyFont="1" applyBorder="1" applyAlignment="1">
      <alignment horizontal="center" vertical="center"/>
    </xf>
    <xf numFmtId="0" fontId="22" fillId="0" borderId="31" xfId="3" applyFont="1" applyBorder="1" applyAlignment="1">
      <alignment horizontal="center" vertical="center" wrapText="1"/>
    </xf>
    <xf numFmtId="0" fontId="22" fillId="0" borderId="28" xfId="3" applyFont="1" applyBorder="1" applyAlignment="1">
      <alignment horizontal="center" vertical="center"/>
    </xf>
    <xf numFmtId="0" fontId="25" fillId="0" borderId="28" xfId="3" applyFont="1" applyBorder="1"/>
    <xf numFmtId="0" fontId="22" fillId="0" borderId="0" xfId="3" applyFont="1" applyAlignment="1">
      <alignment horizontal="center" vertical="center"/>
    </xf>
    <xf numFmtId="0" fontId="22" fillId="0" borderId="14" xfId="3" applyFont="1" applyBorder="1" applyAlignment="1">
      <alignment horizontal="center" vertical="center"/>
    </xf>
    <xf numFmtId="0" fontId="25" fillId="3" borderId="37" xfId="3" applyFont="1" applyFill="1" applyBorder="1" applyAlignment="1">
      <alignment horizontal="center"/>
    </xf>
    <xf numFmtId="0" fontId="25" fillId="0" borderId="37" xfId="3" applyFont="1" applyBorder="1"/>
    <xf numFmtId="0" fontId="25" fillId="6" borderId="37" xfId="3" applyFont="1" applyFill="1" applyBorder="1" applyAlignment="1">
      <alignment horizontal="center"/>
    </xf>
    <xf numFmtId="0" fontId="25" fillId="6" borderId="39" xfId="3" applyFont="1" applyFill="1" applyBorder="1" applyAlignment="1">
      <alignment horizontal="center"/>
    </xf>
    <xf numFmtId="0" fontId="25" fillId="0" borderId="0" xfId="3" applyFont="1"/>
    <xf numFmtId="0" fontId="22" fillId="0" borderId="20" xfId="3" applyFont="1" applyBorder="1" applyAlignment="1">
      <alignment horizontal="center" vertical="center"/>
    </xf>
    <xf numFmtId="0" fontId="25" fillId="0" borderId="20" xfId="3" applyFont="1" applyBorder="1"/>
    <xf numFmtId="0" fontId="23" fillId="5" borderId="23" xfId="3" applyFont="1" applyFill="1" applyBorder="1" applyAlignment="1">
      <alignment horizontal="center" vertical="center"/>
    </xf>
    <xf numFmtId="0" fontId="30" fillId="0" borderId="26" xfId="3" applyFont="1" applyBorder="1" applyAlignment="1">
      <alignment horizontal="center" vertical="center" wrapText="1"/>
    </xf>
    <xf numFmtId="0" fontId="28" fillId="0" borderId="24" xfId="3" applyFont="1" applyBorder="1" applyAlignment="1">
      <alignment horizontal="center" vertical="center"/>
    </xf>
    <xf numFmtId="0" fontId="28" fillId="5" borderId="26" xfId="3" applyFont="1" applyFill="1" applyBorder="1" applyAlignment="1">
      <alignment horizontal="center"/>
    </xf>
    <xf numFmtId="0" fontId="25" fillId="6" borderId="23" xfId="3" applyFont="1" applyFill="1" applyBorder="1" applyAlignment="1">
      <alignment horizontal="center"/>
    </xf>
    <xf numFmtId="0" fontId="22" fillId="0" borderId="24" xfId="3" applyFont="1" applyBorder="1" applyAlignment="1">
      <alignment horizontal="left" vertical="center" wrapText="1"/>
    </xf>
    <xf numFmtId="0" fontId="22" fillId="0" borderId="26" xfId="3" applyFont="1" applyBorder="1" applyAlignment="1">
      <alignment horizontal="center" vertical="center"/>
    </xf>
    <xf numFmtId="0" fontId="25" fillId="3" borderId="24" xfId="3" applyFont="1" applyFill="1" applyBorder="1" applyAlignment="1">
      <alignment horizontal="center"/>
    </xf>
    <xf numFmtId="0" fontId="27" fillId="5" borderId="26" xfId="3" applyFont="1" applyFill="1" applyBorder="1" applyAlignment="1">
      <alignment horizontal="center"/>
    </xf>
    <xf numFmtId="0" fontId="27" fillId="5" borderId="24" xfId="3" applyFont="1" applyFill="1" applyBorder="1" applyAlignment="1">
      <alignment horizontal="center"/>
    </xf>
    <xf numFmtId="0" fontId="27" fillId="5" borderId="26" xfId="3" applyFont="1" applyFill="1" applyBorder="1"/>
    <xf numFmtId="0" fontId="27" fillId="5" borderId="24" xfId="3" applyFont="1" applyFill="1" applyBorder="1"/>
    <xf numFmtId="0" fontId="27" fillId="5" borderId="27" xfId="3" applyFont="1" applyFill="1" applyBorder="1" applyAlignment="1">
      <alignment horizontal="center" vertical="center" wrapText="1"/>
    </xf>
    <xf numFmtId="0" fontId="27" fillId="5" borderId="23" xfId="3" applyFont="1" applyFill="1" applyBorder="1" applyAlignment="1">
      <alignment horizontal="center"/>
    </xf>
    <xf numFmtId="0" fontId="27" fillId="0" borderId="37" xfId="3" applyFont="1" applyBorder="1" applyAlignment="1">
      <alignment horizontal="center"/>
    </xf>
    <xf numFmtId="0" fontId="25" fillId="8" borderId="7" xfId="3" applyFont="1" applyFill="1" applyBorder="1" applyAlignment="1">
      <alignment horizontal="center"/>
    </xf>
    <xf numFmtId="0" fontId="25" fillId="8" borderId="7" xfId="3" applyFont="1" applyFill="1" applyBorder="1"/>
    <xf numFmtId="0" fontId="25" fillId="8" borderId="14" xfId="3" applyFont="1" applyFill="1" applyBorder="1" applyAlignment="1">
      <alignment horizontal="center" vertical="center" wrapText="1"/>
    </xf>
    <xf numFmtId="0" fontId="25" fillId="5" borderId="22" xfId="3" applyFont="1" applyFill="1" applyBorder="1" applyAlignment="1">
      <alignment horizontal="center"/>
    </xf>
    <xf numFmtId="0" fontId="25" fillId="5" borderId="20" xfId="3" applyFont="1" applyFill="1" applyBorder="1" applyAlignment="1">
      <alignment horizontal="center"/>
    </xf>
    <xf numFmtId="0" fontId="25" fillId="5" borderId="22" xfId="3" applyFont="1" applyFill="1" applyBorder="1"/>
    <xf numFmtId="0" fontId="25" fillId="5" borderId="20" xfId="3" applyFont="1" applyFill="1" applyBorder="1"/>
    <xf numFmtId="0" fontId="25" fillId="5" borderId="22" xfId="3" applyFont="1" applyFill="1" applyBorder="1" applyAlignment="1">
      <alignment horizontal="center" vertical="center" wrapText="1"/>
    </xf>
    <xf numFmtId="0" fontId="25" fillId="6" borderId="20" xfId="3" applyFont="1" applyFill="1" applyBorder="1" applyAlignment="1">
      <alignment horizontal="center"/>
    </xf>
    <xf numFmtId="0" fontId="25" fillId="6" borderId="22" xfId="3" applyFont="1" applyFill="1" applyBorder="1" applyAlignment="1">
      <alignment horizontal="center"/>
    </xf>
    <xf numFmtId="0" fontId="25" fillId="5" borderId="19" xfId="3" applyFont="1" applyFill="1" applyBorder="1" applyAlignment="1">
      <alignment horizontal="center"/>
    </xf>
    <xf numFmtId="0" fontId="25" fillId="0" borderId="19" xfId="3" applyFont="1" applyBorder="1"/>
    <xf numFmtId="0" fontId="25" fillId="0" borderId="10" xfId="3" applyFont="1" applyBorder="1" applyAlignment="1">
      <alignment horizontal="center" vertical="center" wrapText="1"/>
    </xf>
    <xf numFmtId="0" fontId="25" fillId="0" borderId="14" xfId="3" applyFont="1" applyBorder="1" applyAlignment="1">
      <alignment horizontal="center" vertical="center" wrapText="1"/>
    </xf>
    <xf numFmtId="0" fontId="25" fillId="0" borderId="17" xfId="3" applyFont="1" applyBorder="1"/>
    <xf numFmtId="0" fontId="25" fillId="7" borderId="22" xfId="3" applyFont="1" applyFill="1" applyBorder="1" applyAlignment="1">
      <alignment horizontal="center"/>
    </xf>
    <xf numFmtId="0" fontId="25" fillId="7" borderId="20" xfId="3" applyFont="1" applyFill="1" applyBorder="1" applyAlignment="1">
      <alignment horizontal="center"/>
    </xf>
    <xf numFmtId="0" fontId="25" fillId="7" borderId="22" xfId="3" applyFont="1" applyFill="1" applyBorder="1"/>
    <xf numFmtId="0" fontId="25" fillId="7" borderId="20" xfId="3" applyFont="1" applyFill="1" applyBorder="1"/>
    <xf numFmtId="0" fontId="25" fillId="7" borderId="22" xfId="3" applyFont="1" applyFill="1" applyBorder="1" applyAlignment="1">
      <alignment horizontal="center" vertical="center" wrapText="1"/>
    </xf>
    <xf numFmtId="0" fontId="25" fillId="7" borderId="2" xfId="3" applyFont="1" applyFill="1" applyBorder="1" applyAlignment="1">
      <alignment horizontal="center"/>
    </xf>
    <xf numFmtId="0" fontId="25" fillId="7" borderId="19" xfId="3" applyFont="1" applyFill="1" applyBorder="1" applyAlignment="1">
      <alignment horizontal="center"/>
    </xf>
    <xf numFmtId="0" fontId="25" fillId="5" borderId="28" xfId="3" applyFont="1" applyFill="1" applyBorder="1"/>
    <xf numFmtId="0" fontId="25" fillId="5" borderId="29" xfId="3" applyFont="1" applyFill="1" applyBorder="1" applyAlignment="1">
      <alignment horizontal="center"/>
    </xf>
    <xf numFmtId="0" fontId="22" fillId="0" borderId="24" xfId="3" applyFont="1" applyBorder="1" applyAlignment="1">
      <alignment vertical="center"/>
    </xf>
    <xf numFmtId="0" fontId="22" fillId="0" borderId="26" xfId="3" applyFont="1" applyBorder="1" applyAlignment="1">
      <alignment vertical="center"/>
    </xf>
    <xf numFmtId="0" fontId="22" fillId="0" borderId="36" xfId="3" applyFont="1" applyBorder="1" applyAlignment="1">
      <alignment vertical="center"/>
    </xf>
    <xf numFmtId="0" fontId="22" fillId="0" borderId="22" xfId="3" applyFont="1" applyBorder="1" applyAlignment="1">
      <alignment vertical="center"/>
    </xf>
    <xf numFmtId="0" fontId="25" fillId="9" borderId="22" xfId="3" applyFont="1" applyFill="1" applyBorder="1" applyAlignment="1">
      <alignment horizontal="center"/>
    </xf>
    <xf numFmtId="0" fontId="25" fillId="9" borderId="20" xfId="3" applyFont="1" applyFill="1" applyBorder="1" applyAlignment="1">
      <alignment horizontal="center"/>
    </xf>
    <xf numFmtId="0" fontId="25" fillId="9" borderId="19" xfId="3" applyFont="1" applyFill="1" applyBorder="1" applyAlignment="1">
      <alignment horizontal="center"/>
    </xf>
    <xf numFmtId="0" fontId="22" fillId="0" borderId="27" xfId="3" applyFont="1" applyBorder="1" applyAlignment="1">
      <alignment vertical="center"/>
    </xf>
    <xf numFmtId="0" fontId="28" fillId="9" borderId="22" xfId="3" applyFont="1" applyFill="1" applyBorder="1" applyAlignment="1">
      <alignment horizontal="center"/>
    </xf>
    <xf numFmtId="0" fontId="25" fillId="0" borderId="34" xfId="3" applyFont="1" applyBorder="1"/>
    <xf numFmtId="0" fontId="25" fillId="9" borderId="34" xfId="3" applyFont="1" applyFill="1" applyBorder="1" applyAlignment="1">
      <alignment horizontal="center"/>
    </xf>
    <xf numFmtId="0" fontId="25" fillId="6" borderId="33" xfId="3" applyFont="1" applyFill="1" applyBorder="1" applyAlignment="1">
      <alignment horizontal="center"/>
    </xf>
    <xf numFmtId="0" fontId="25" fillId="9" borderId="24" xfId="3" applyFont="1" applyFill="1" applyBorder="1" applyAlignment="1">
      <alignment horizontal="center"/>
    </xf>
    <xf numFmtId="0" fontId="25" fillId="9" borderId="26" xfId="3" applyFont="1" applyFill="1" applyBorder="1" applyAlignment="1">
      <alignment horizontal="center"/>
    </xf>
    <xf numFmtId="0" fontId="23" fillId="4" borderId="24" xfId="3" applyFont="1" applyFill="1" applyBorder="1" applyAlignment="1">
      <alignment horizontal="center" vertical="center"/>
    </xf>
    <xf numFmtId="0" fontId="22" fillId="0" borderId="22" xfId="3" applyFont="1" applyBorder="1"/>
    <xf numFmtId="0" fontId="28" fillId="0" borderId="20" xfId="3" applyFont="1" applyBorder="1" applyAlignment="1">
      <alignment horizontal="center" vertical="center"/>
    </xf>
    <xf numFmtId="0" fontId="28" fillId="5" borderId="22" xfId="3" applyFont="1" applyFill="1" applyBorder="1" applyAlignment="1">
      <alignment horizontal="center"/>
    </xf>
    <xf numFmtId="0" fontId="25" fillId="5" borderId="2" xfId="3" applyFont="1" applyFill="1" applyBorder="1" applyAlignment="1">
      <alignment horizontal="center"/>
    </xf>
    <xf numFmtId="0" fontId="22" fillId="0" borderId="24" xfId="3" applyFont="1" applyBorder="1"/>
    <xf numFmtId="0" fontId="25" fillId="5" borderId="37" xfId="3" applyFont="1" applyFill="1" applyBorder="1"/>
    <xf numFmtId="0" fontId="25" fillId="5" borderId="17" xfId="3" applyFont="1" applyFill="1" applyBorder="1" applyAlignment="1">
      <alignment horizontal="center"/>
    </xf>
    <xf numFmtId="0" fontId="22" fillId="0" borderId="24" xfId="3" applyFont="1" applyBorder="1" applyAlignment="1">
      <alignment horizontal="center"/>
    </xf>
    <xf numFmtId="0" fontId="22" fillId="0" borderId="20" xfId="3" applyFont="1" applyBorder="1"/>
    <xf numFmtId="0" fontId="22" fillId="0" borderId="28" xfId="3" applyFont="1" applyBorder="1"/>
    <xf numFmtId="0" fontId="22" fillId="0" borderId="28" xfId="3" applyFont="1" applyBorder="1" applyAlignment="1">
      <alignment horizontal="center"/>
    </xf>
    <xf numFmtId="0" fontId="22" fillId="0" borderId="31" xfId="3" applyFont="1" applyBorder="1"/>
    <xf numFmtId="0" fontId="25" fillId="8" borderId="28" xfId="3" applyFont="1" applyFill="1" applyBorder="1"/>
    <xf numFmtId="0" fontId="25" fillId="8" borderId="0" xfId="3" applyFont="1" applyFill="1" applyAlignment="1">
      <alignment horizontal="center" vertical="center" wrapText="1"/>
    </xf>
    <xf numFmtId="0" fontId="22" fillId="0" borderId="27" xfId="3" applyFont="1" applyBorder="1"/>
    <xf numFmtId="0" fontId="22" fillId="0" borderId="34" xfId="3" applyFont="1" applyBorder="1"/>
    <xf numFmtId="0" fontId="22" fillId="0" borderId="0" xfId="3" applyFont="1"/>
    <xf numFmtId="0" fontId="22" fillId="0" borderId="14" xfId="3" applyFont="1" applyBorder="1"/>
    <xf numFmtId="0" fontId="28" fillId="3" borderId="24" xfId="3" applyFont="1" applyFill="1" applyBorder="1" applyAlignment="1">
      <alignment horizontal="center" vertical="center"/>
    </xf>
    <xf numFmtId="0" fontId="28" fillId="5" borderId="36" xfId="3" applyFont="1" applyFill="1" applyBorder="1" applyAlignment="1">
      <alignment horizontal="center"/>
    </xf>
    <xf numFmtId="0" fontId="28" fillId="5" borderId="36" xfId="3" applyFont="1" applyFill="1" applyBorder="1" applyAlignment="1">
      <alignment horizontal="center" vertical="center"/>
    </xf>
    <xf numFmtId="0" fontId="25" fillId="6" borderId="36" xfId="3" applyFont="1" applyFill="1" applyBorder="1" applyAlignment="1">
      <alignment horizontal="center"/>
    </xf>
    <xf numFmtId="0" fontId="25" fillId="0" borderId="31" xfId="3" applyFont="1" applyBorder="1" applyAlignment="1">
      <alignment horizontal="center" vertical="center" wrapText="1"/>
    </xf>
    <xf numFmtId="0" fontId="22" fillId="0" borderId="41" xfId="3" applyFont="1" applyBorder="1" applyAlignment="1">
      <alignment horizontal="center" vertical="center" wrapText="1"/>
    </xf>
    <xf numFmtId="0" fontId="25" fillId="0" borderId="7" xfId="3" applyFont="1" applyBorder="1" applyAlignment="1">
      <alignment horizontal="center"/>
    </xf>
    <xf numFmtId="0" fontId="22" fillId="0" borderId="32" xfId="3" applyFont="1" applyBorder="1" applyAlignment="1">
      <alignment horizontal="center" vertical="center" wrapText="1"/>
    </xf>
    <xf numFmtId="0" fontId="25" fillId="0" borderId="27" xfId="3" applyFont="1" applyBorder="1" applyAlignment="1">
      <alignment horizontal="center" vertical="center"/>
    </xf>
    <xf numFmtId="0" fontId="25" fillId="0" borderId="26" xfId="3" applyFont="1" applyBorder="1" applyAlignment="1">
      <alignment horizontal="center" vertical="center"/>
    </xf>
    <xf numFmtId="0" fontId="22" fillId="0" borderId="43" xfId="3" applyFont="1" applyBorder="1" applyAlignment="1">
      <alignment horizontal="center" vertical="center" wrapText="1"/>
    </xf>
    <xf numFmtId="0" fontId="28" fillId="0" borderId="26" xfId="3" applyFont="1" applyBorder="1" applyAlignment="1">
      <alignment horizontal="center" vertical="center"/>
    </xf>
    <xf numFmtId="0" fontId="28" fillId="0" borderId="22" xfId="3" applyFont="1" applyBorder="1" applyAlignment="1">
      <alignment horizontal="center"/>
    </xf>
    <xf numFmtId="0" fontId="28" fillId="6" borderId="20" xfId="3" applyFont="1" applyFill="1" applyBorder="1" applyAlignment="1">
      <alignment horizontal="center"/>
    </xf>
    <xf numFmtId="0" fontId="25" fillId="0" borderId="22" xfId="3" applyFont="1" applyBorder="1" applyAlignment="1">
      <alignment horizontal="center" vertical="center"/>
    </xf>
    <xf numFmtId="0" fontId="25" fillId="5" borderId="17" xfId="3" applyFont="1" applyFill="1" applyBorder="1" applyAlignment="1">
      <alignment horizontal="center" vertical="center" wrapText="1"/>
    </xf>
    <xf numFmtId="0" fontId="25" fillId="8" borderId="27" xfId="3" applyFont="1" applyFill="1" applyBorder="1" applyAlignment="1">
      <alignment horizontal="center" vertical="center" wrapText="1"/>
    </xf>
    <xf numFmtId="0" fontId="22" fillId="0" borderId="36" xfId="3" applyFont="1" applyBorder="1"/>
    <xf numFmtId="0" fontId="22" fillId="0" borderId="37" xfId="3" applyFont="1" applyBorder="1"/>
    <xf numFmtId="0" fontId="25" fillId="0" borderId="0" xfId="3" applyFont="1" applyAlignment="1">
      <alignment horizontal="center"/>
    </xf>
    <xf numFmtId="0" fontId="25" fillId="10" borderId="23" xfId="3" applyFont="1" applyFill="1" applyBorder="1" applyAlignment="1">
      <alignment horizontal="center"/>
    </xf>
    <xf numFmtId="0" fontId="25" fillId="10" borderId="23" xfId="3" applyFont="1" applyFill="1" applyBorder="1"/>
    <xf numFmtId="0" fontId="25" fillId="10" borderId="34" xfId="3" applyFont="1" applyFill="1" applyBorder="1" applyAlignment="1">
      <alignment horizontal="center" vertical="center" wrapText="1"/>
    </xf>
    <xf numFmtId="0" fontId="23" fillId="10" borderId="23" xfId="3" applyFont="1" applyFill="1" applyBorder="1" applyAlignment="1">
      <alignment horizontal="center" vertical="center"/>
    </xf>
    <xf numFmtId="0" fontId="23" fillId="10" borderId="24" xfId="3" applyFont="1" applyFill="1" applyBorder="1" applyAlignment="1">
      <alignment horizontal="center" vertical="center"/>
    </xf>
    <xf numFmtId="0" fontId="28" fillId="0" borderId="26" xfId="3" applyFont="1" applyBorder="1"/>
    <xf numFmtId="0" fontId="28" fillId="0" borderId="24" xfId="3" applyFont="1" applyBorder="1"/>
    <xf numFmtId="0" fontId="28" fillId="0" borderId="26" xfId="3" applyFont="1" applyBorder="1" applyAlignment="1">
      <alignment horizontal="center"/>
    </xf>
    <xf numFmtId="0" fontId="27" fillId="0" borderId="24" xfId="3" applyFont="1" applyBorder="1"/>
    <xf numFmtId="0" fontId="27" fillId="6" borderId="24" xfId="3" applyFont="1" applyFill="1" applyBorder="1" applyAlignment="1">
      <alignment horizontal="center"/>
    </xf>
    <xf numFmtId="0" fontId="27" fillId="0" borderId="24" xfId="3" applyFont="1" applyBorder="1" applyAlignment="1">
      <alignment horizontal="center" vertical="center" wrapText="1"/>
    </xf>
    <xf numFmtId="0" fontId="25" fillId="5" borderId="12" xfId="3" applyFont="1" applyFill="1" applyBorder="1" applyAlignment="1">
      <alignment horizontal="center"/>
    </xf>
    <xf numFmtId="0" fontId="25" fillId="5" borderId="18" xfId="3" applyFont="1" applyFill="1" applyBorder="1" applyAlignment="1">
      <alignment horizontal="center"/>
    </xf>
    <xf numFmtId="0" fontId="25" fillId="5" borderId="18" xfId="3" applyFont="1" applyFill="1" applyBorder="1"/>
    <xf numFmtId="0" fontId="25" fillId="5" borderId="12" xfId="3" applyFont="1" applyFill="1" applyBorder="1" applyAlignment="1">
      <alignment horizontal="center" vertical="center" wrapText="1"/>
    </xf>
    <xf numFmtId="0" fontId="25" fillId="5" borderId="11" xfId="3" applyFont="1" applyFill="1" applyBorder="1" applyAlignment="1">
      <alignment horizontal="center"/>
    </xf>
    <xf numFmtId="0" fontId="25" fillId="5" borderId="12" xfId="3" applyFont="1" applyFill="1" applyBorder="1"/>
    <xf numFmtId="0" fontId="25" fillId="3" borderId="18" xfId="3" applyFont="1" applyFill="1" applyBorder="1" applyAlignment="1">
      <alignment horizontal="center" vertical="center"/>
    </xf>
    <xf numFmtId="0" fontId="25" fillId="11" borderId="12" xfId="3" applyFont="1" applyFill="1" applyBorder="1"/>
    <xf numFmtId="0" fontId="25" fillId="0" borderId="18" xfId="3" applyFont="1" applyBorder="1"/>
    <xf numFmtId="0" fontId="25" fillId="0" borderId="14" xfId="3" applyFont="1" applyBorder="1" applyAlignment="1">
      <alignment horizontal="center"/>
    </xf>
    <xf numFmtId="0" fontId="25" fillId="6" borderId="14" xfId="3" applyFont="1" applyFill="1" applyBorder="1"/>
    <xf numFmtId="0" fontId="25" fillId="5" borderId="0" xfId="3" applyFont="1" applyFill="1"/>
    <xf numFmtId="0" fontId="25" fillId="5" borderId="14" xfId="3" applyFont="1" applyFill="1" applyBorder="1"/>
    <xf numFmtId="0" fontId="25" fillId="6" borderId="14" xfId="3" applyFont="1" applyFill="1" applyBorder="1" applyAlignment="1">
      <alignment horizontal="center"/>
    </xf>
    <xf numFmtId="0" fontId="25" fillId="6" borderId="0" xfId="3" applyFont="1" applyFill="1" applyAlignment="1">
      <alignment horizontal="center"/>
    </xf>
    <xf numFmtId="0" fontId="25" fillId="5" borderId="14" xfId="3" applyFont="1" applyFill="1" applyBorder="1" applyAlignment="1">
      <alignment horizontal="center"/>
    </xf>
    <xf numFmtId="0" fontId="25" fillId="5" borderId="7" xfId="3" applyFont="1" applyFill="1" applyBorder="1" applyAlignment="1">
      <alignment horizontal="center"/>
    </xf>
    <xf numFmtId="0" fontId="25" fillId="7" borderId="22" xfId="3" applyFont="1" applyFill="1" applyBorder="1" applyAlignment="1">
      <alignment horizontal="center" vertical="center"/>
    </xf>
    <xf numFmtId="0" fontId="25" fillId="7" borderId="27" xfId="3" applyFont="1" applyFill="1" applyBorder="1" applyAlignment="1">
      <alignment horizontal="center"/>
    </xf>
    <xf numFmtId="0" fontId="25" fillId="7" borderId="34" xfId="3" applyFont="1" applyFill="1" applyBorder="1" applyAlignment="1">
      <alignment horizontal="center"/>
    </xf>
    <xf numFmtId="0" fontId="25" fillId="7" borderId="27" xfId="3" applyFont="1" applyFill="1" applyBorder="1" applyAlignment="1">
      <alignment horizontal="center" vertical="center"/>
    </xf>
    <xf numFmtId="0" fontId="25" fillId="7" borderId="34" xfId="3" applyFont="1" applyFill="1" applyBorder="1"/>
    <xf numFmtId="0" fontId="25" fillId="7" borderId="27" xfId="3" applyFont="1" applyFill="1" applyBorder="1" applyAlignment="1">
      <alignment horizontal="center" vertical="center" wrapText="1"/>
    </xf>
    <xf numFmtId="0" fontId="25" fillId="7" borderId="0" xfId="3" applyFont="1" applyFill="1" applyAlignment="1">
      <alignment horizontal="center"/>
    </xf>
    <xf numFmtId="0" fontId="25" fillId="7" borderId="33" xfId="3" applyFont="1" applyFill="1" applyBorder="1" applyAlignment="1">
      <alignment horizontal="center"/>
    </xf>
    <xf numFmtId="0" fontId="23" fillId="7" borderId="23" xfId="3" applyFont="1" applyFill="1" applyBorder="1" applyAlignment="1">
      <alignment horizontal="center" vertical="center"/>
    </xf>
    <xf numFmtId="0" fontId="23" fillId="7" borderId="24" xfId="3" applyFont="1" applyFill="1" applyBorder="1" applyAlignment="1">
      <alignment horizontal="center" vertical="center"/>
    </xf>
    <xf numFmtId="0" fontId="25" fillId="8" borderId="20" xfId="3" applyFont="1" applyFill="1" applyBorder="1" applyAlignment="1">
      <alignment horizontal="center"/>
    </xf>
    <xf numFmtId="0" fontId="25" fillId="6" borderId="19" xfId="3" applyFont="1" applyFill="1" applyBorder="1" applyAlignment="1">
      <alignment horizontal="center"/>
    </xf>
    <xf numFmtId="0" fontId="25" fillId="3" borderId="34" xfId="3" applyFont="1" applyFill="1" applyBorder="1" applyAlignment="1">
      <alignment horizontal="center"/>
    </xf>
    <xf numFmtId="0" fontId="25" fillId="3" borderId="27" xfId="3" applyFont="1" applyFill="1" applyBorder="1" applyAlignment="1">
      <alignment horizontal="center"/>
    </xf>
    <xf numFmtId="0" fontId="25" fillId="3" borderId="34" xfId="3" applyFont="1" applyFill="1" applyBorder="1"/>
    <xf numFmtId="0" fontId="25" fillId="3" borderId="27" xfId="3" applyFont="1" applyFill="1" applyBorder="1" applyAlignment="1">
      <alignment horizontal="center" vertical="center" wrapText="1"/>
    </xf>
    <xf numFmtId="0" fontId="25" fillId="3" borderId="0" xfId="3" applyFont="1" applyFill="1" applyAlignment="1">
      <alignment horizontal="center"/>
    </xf>
    <xf numFmtId="0" fontId="25" fillId="3" borderId="33" xfId="3" applyFont="1" applyFill="1" applyBorder="1" applyAlignment="1">
      <alignment horizontal="center"/>
    </xf>
    <xf numFmtId="0" fontId="25" fillId="8" borderId="4" xfId="3" applyFont="1" applyFill="1" applyBorder="1" applyAlignment="1">
      <alignment horizontal="center"/>
    </xf>
    <xf numFmtId="0" fontId="25" fillId="5" borderId="4" xfId="3" applyFont="1" applyFill="1" applyBorder="1"/>
    <xf numFmtId="0" fontId="25" fillId="6" borderId="4" xfId="3" applyFont="1" applyFill="1" applyBorder="1" applyAlignment="1">
      <alignment horizontal="center"/>
    </xf>
    <xf numFmtId="0" fontId="25" fillId="6" borderId="32" xfId="3" applyFont="1" applyFill="1" applyBorder="1" applyAlignment="1">
      <alignment horizontal="center"/>
    </xf>
    <xf numFmtId="0" fontId="25" fillId="0" borderId="15" xfId="3" applyFont="1" applyBorder="1" applyAlignment="1">
      <alignment horizontal="center" vertical="center"/>
    </xf>
    <xf numFmtId="0" fontId="25" fillId="0" borderId="15" xfId="3" applyFont="1" applyBorder="1" applyAlignment="1">
      <alignment horizontal="center"/>
    </xf>
    <xf numFmtId="0" fontId="25" fillId="3" borderId="28" xfId="3" applyFont="1" applyFill="1" applyBorder="1" applyAlignment="1">
      <alignment horizontal="center"/>
    </xf>
    <xf numFmtId="0" fontId="25" fillId="6" borderId="28" xfId="3" applyFont="1" applyFill="1" applyBorder="1" applyAlignment="1">
      <alignment horizontal="center"/>
    </xf>
    <xf numFmtId="0" fontId="25" fillId="6" borderId="31" xfId="3" applyFont="1" applyFill="1" applyBorder="1" applyAlignment="1">
      <alignment horizontal="center"/>
    </xf>
    <xf numFmtId="0" fontId="25" fillId="0" borderId="4" xfId="3" applyFont="1" applyBorder="1" applyAlignment="1">
      <alignment horizontal="center"/>
    </xf>
    <xf numFmtId="0" fontId="25" fillId="0" borderId="4" xfId="3" applyFont="1" applyBorder="1"/>
    <xf numFmtId="0" fontId="25" fillId="0" borderId="16" xfId="3" applyFont="1" applyBorder="1" applyAlignment="1">
      <alignment horizontal="center"/>
    </xf>
    <xf numFmtId="0" fontId="25" fillId="6" borderId="15" xfId="3" applyFont="1" applyFill="1" applyBorder="1" applyAlignment="1">
      <alignment horizontal="center"/>
    </xf>
    <xf numFmtId="0" fontId="25" fillId="5" borderId="15" xfId="3" applyFont="1" applyFill="1" applyBorder="1"/>
    <xf numFmtId="0" fontId="25" fillId="6" borderId="17" xfId="3" applyFont="1" applyFill="1" applyBorder="1" applyAlignment="1">
      <alignment horizontal="center"/>
    </xf>
    <xf numFmtId="0" fontId="25" fillId="0" borderId="45" xfId="3" applyFont="1" applyBorder="1" applyAlignment="1">
      <alignment horizontal="center"/>
    </xf>
    <xf numFmtId="0" fontId="25" fillId="0" borderId="35" xfId="3" applyFont="1" applyBorder="1" applyAlignment="1">
      <alignment horizontal="center"/>
    </xf>
    <xf numFmtId="0" fontId="25" fillId="0" borderId="25" xfId="3" applyFont="1" applyBorder="1" applyAlignment="1">
      <alignment horizontal="center"/>
    </xf>
    <xf numFmtId="0" fontId="25" fillId="0" borderId="46" xfId="3" applyFont="1" applyBorder="1" applyAlignment="1">
      <alignment horizontal="center"/>
    </xf>
    <xf numFmtId="0" fontId="25" fillId="0" borderId="47" xfId="3" applyFont="1" applyBorder="1" applyAlignment="1">
      <alignment horizontal="center"/>
    </xf>
    <xf numFmtId="0" fontId="25" fillId="0" borderId="17" xfId="3" applyFont="1" applyBorder="1" applyAlignment="1">
      <alignment horizontal="center"/>
    </xf>
    <xf numFmtId="0" fontId="25" fillId="0" borderId="15" xfId="3" applyFont="1" applyBorder="1"/>
    <xf numFmtId="0" fontId="25" fillId="6" borderId="24" xfId="3" applyFont="1" applyFill="1" applyBorder="1"/>
    <xf numFmtId="0" fontId="25" fillId="5" borderId="25" xfId="3" applyFont="1" applyFill="1" applyBorder="1" applyAlignment="1">
      <alignment horizontal="center"/>
    </xf>
    <xf numFmtId="0" fontId="25" fillId="0" borderId="2" xfId="3" applyFont="1" applyBorder="1" applyAlignment="1">
      <alignment horizontal="center"/>
    </xf>
    <xf numFmtId="0" fontId="25" fillId="0" borderId="10" xfId="3" applyFont="1" applyBorder="1" applyAlignment="1">
      <alignment horizontal="center"/>
    </xf>
    <xf numFmtId="0" fontId="25" fillId="0" borderId="1" xfId="3" applyFont="1" applyBorder="1" applyAlignment="1">
      <alignment horizontal="center"/>
    </xf>
    <xf numFmtId="0" fontId="22" fillId="0" borderId="10" xfId="3" applyFont="1" applyBorder="1" applyAlignment="1">
      <alignment horizontal="center" vertical="center" wrapText="1"/>
    </xf>
    <xf numFmtId="0" fontId="22" fillId="0" borderId="2" xfId="3" applyFont="1" applyBorder="1" applyAlignment="1">
      <alignment horizontal="center" vertical="center" wrapText="1"/>
    </xf>
    <xf numFmtId="0" fontId="25" fillId="0" borderId="3" xfId="3" applyFont="1" applyBorder="1" applyAlignment="1">
      <alignment horizontal="center"/>
    </xf>
    <xf numFmtId="0" fontId="25" fillId="0" borderId="10" xfId="3" applyFont="1" applyBorder="1"/>
    <xf numFmtId="0" fontId="25" fillId="0" borderId="2" xfId="3" applyFont="1" applyBorder="1" applyAlignment="1">
      <alignment horizontal="center" vertical="center" wrapText="1"/>
    </xf>
    <xf numFmtId="0" fontId="25" fillId="0" borderId="48" xfId="3" applyFont="1" applyBorder="1" applyAlignment="1">
      <alignment horizontal="center" vertical="center" wrapText="1"/>
    </xf>
    <xf numFmtId="0" fontId="25" fillId="0" borderId="49" xfId="3" applyFont="1" applyBorder="1" applyAlignment="1">
      <alignment horizontal="center" vertical="center"/>
    </xf>
    <xf numFmtId="0" fontId="22" fillId="0" borderId="49" xfId="3" applyFont="1" applyBorder="1" applyAlignment="1">
      <alignment horizontal="center" vertical="center" wrapText="1"/>
    </xf>
    <xf numFmtId="0" fontId="25" fillId="0" borderId="50" xfId="3" applyFont="1" applyBorder="1" applyAlignment="1">
      <alignment horizontal="center" vertical="center" wrapText="1"/>
    </xf>
    <xf numFmtId="0" fontId="25" fillId="0" borderId="4" xfId="3" applyFont="1" applyBorder="1" applyAlignment="1">
      <alignment horizontal="center" vertical="center"/>
    </xf>
    <xf numFmtId="0" fontId="22" fillId="0" borderId="4" xfId="3" applyFont="1" applyBorder="1" applyAlignment="1">
      <alignment horizontal="center" vertical="center" wrapText="1"/>
    </xf>
    <xf numFmtId="0" fontId="25" fillId="0" borderId="51" xfId="3" applyFont="1" applyBorder="1" applyAlignment="1">
      <alignment horizontal="center" vertical="center" wrapText="1"/>
    </xf>
    <xf numFmtId="0" fontId="25" fillId="0" borderId="46" xfId="3" applyFont="1" applyBorder="1" applyAlignment="1">
      <alignment horizontal="center" vertical="center"/>
    </xf>
    <xf numFmtId="0" fontId="22" fillId="0" borderId="46" xfId="3" applyFont="1" applyBorder="1" applyAlignment="1">
      <alignment horizontal="center" vertical="center" wrapText="1"/>
    </xf>
    <xf numFmtId="0" fontId="25" fillId="0" borderId="46" xfId="3" applyFont="1" applyBorder="1"/>
    <xf numFmtId="0" fontId="25" fillId="0" borderId="46" xfId="3" applyFont="1" applyBorder="1" applyAlignment="1">
      <alignment horizontal="center" vertical="center" wrapText="1"/>
    </xf>
    <xf numFmtId="0" fontId="25" fillId="0" borderId="52" xfId="3" applyFont="1" applyBorder="1" applyAlignment="1">
      <alignment horizontal="center"/>
    </xf>
    <xf numFmtId="0" fontId="25" fillId="0" borderId="20" xfId="3" applyFont="1" applyBorder="1" applyAlignment="1">
      <alignment horizontal="center" vertical="center" wrapText="1"/>
    </xf>
    <xf numFmtId="0" fontId="25" fillId="5" borderId="23" xfId="3" applyFont="1" applyFill="1" applyBorder="1"/>
    <xf numFmtId="0" fontId="25" fillId="5" borderId="34" xfId="3" applyFont="1" applyFill="1" applyBorder="1" applyAlignment="1">
      <alignment horizontal="center" vertical="center" wrapText="1"/>
    </xf>
    <xf numFmtId="0" fontId="25" fillId="5" borderId="38" xfId="3" applyFont="1" applyFill="1" applyBorder="1"/>
    <xf numFmtId="0" fontId="25" fillId="5" borderId="37" xfId="3" applyFont="1" applyFill="1" applyBorder="1" applyAlignment="1">
      <alignment horizontal="center" vertical="center" wrapText="1"/>
    </xf>
    <xf numFmtId="0" fontId="25" fillId="5" borderId="16" xfId="3" applyFont="1" applyFill="1" applyBorder="1" applyAlignment="1">
      <alignment horizontal="center"/>
    </xf>
    <xf numFmtId="0" fontId="25" fillId="3" borderId="26" xfId="3" applyFont="1" applyFill="1" applyBorder="1" applyAlignment="1">
      <alignment horizontal="center"/>
    </xf>
    <xf numFmtId="0" fontId="25" fillId="3" borderId="26" xfId="3" applyFont="1" applyFill="1" applyBorder="1"/>
    <xf numFmtId="0" fontId="25" fillId="3" borderId="24" xfId="3" applyFont="1" applyFill="1" applyBorder="1"/>
    <xf numFmtId="0" fontId="27" fillId="0" borderId="20" xfId="3" applyFont="1" applyBorder="1" applyAlignment="1">
      <alignment horizontal="center" vertical="center" wrapText="1"/>
    </xf>
    <xf numFmtId="0" fontId="25" fillId="0" borderId="1" xfId="3" applyFont="1" applyBorder="1"/>
    <xf numFmtId="0" fontId="27" fillId="0" borderId="34" xfId="3" applyFont="1" applyBorder="1" applyAlignment="1">
      <alignment horizontal="center" vertical="center" wrapText="1"/>
    </xf>
    <xf numFmtId="0" fontId="25" fillId="10" borderId="19" xfId="3" applyFont="1" applyFill="1" applyBorder="1" applyAlignment="1">
      <alignment horizontal="center"/>
    </xf>
    <xf numFmtId="0" fontId="25" fillId="10" borderId="19" xfId="3" applyFont="1" applyFill="1" applyBorder="1"/>
    <xf numFmtId="0" fontId="25" fillId="10" borderId="20" xfId="3" applyFont="1" applyFill="1" applyBorder="1" applyAlignment="1">
      <alignment horizontal="center" vertical="center" wrapText="1"/>
    </xf>
    <xf numFmtId="0" fontId="25" fillId="10" borderId="1" xfId="3" applyFont="1" applyFill="1" applyBorder="1"/>
    <xf numFmtId="0" fontId="25" fillId="0" borderId="53" xfId="3" applyFont="1" applyBorder="1" applyAlignment="1">
      <alignment horizontal="center"/>
    </xf>
    <xf numFmtId="0" fontId="25" fillId="0" borderId="53" xfId="3" applyFont="1" applyBorder="1"/>
    <xf numFmtId="0" fontId="25" fillId="0" borderId="53" xfId="3" applyFont="1" applyBorder="1" applyAlignment="1">
      <alignment horizontal="center" vertical="center" wrapText="1"/>
    </xf>
    <xf numFmtId="0" fontId="25" fillId="0" borderId="43" xfId="3" applyFont="1" applyBorder="1" applyAlignment="1">
      <alignment horizontal="center"/>
    </xf>
    <xf numFmtId="0" fontId="25" fillId="0" borderId="54" xfId="3" applyFont="1" applyBorder="1" applyAlignment="1">
      <alignment horizontal="center"/>
    </xf>
    <xf numFmtId="0" fontId="25" fillId="0" borderId="49" xfId="3" applyFont="1" applyBorder="1" applyAlignment="1">
      <alignment horizontal="center"/>
    </xf>
    <xf numFmtId="0" fontId="25" fillId="0" borderId="49" xfId="3" applyFont="1" applyBorder="1"/>
    <xf numFmtId="0" fontId="25" fillId="0" borderId="49" xfId="3" applyFont="1" applyBorder="1" applyAlignment="1">
      <alignment horizontal="center" vertical="center" wrapText="1"/>
    </xf>
    <xf numFmtId="0" fontId="25" fillId="0" borderId="55" xfId="3" applyFont="1" applyBorder="1" applyAlignment="1">
      <alignment horizontal="center"/>
    </xf>
    <xf numFmtId="0" fontId="22" fillId="0" borderId="9" xfId="3" applyFont="1" applyBorder="1" applyAlignment="1">
      <alignment horizontal="center" vertical="center" wrapText="1"/>
    </xf>
    <xf numFmtId="0" fontId="25" fillId="0" borderId="12" xfId="3" applyFont="1" applyBorder="1"/>
    <xf numFmtId="0" fontId="25" fillId="12" borderId="17" xfId="3" applyFont="1" applyFill="1" applyBorder="1" applyAlignment="1">
      <alignment horizontal="center"/>
    </xf>
    <xf numFmtId="0" fontId="25" fillId="12" borderId="15" xfId="3" applyFont="1" applyFill="1" applyBorder="1" applyAlignment="1">
      <alignment horizontal="center"/>
    </xf>
    <xf numFmtId="0" fontId="25" fillId="12" borderId="17" xfId="3" applyFont="1" applyFill="1" applyBorder="1" applyAlignment="1">
      <alignment horizontal="center" vertical="center" wrapText="1"/>
    </xf>
    <xf numFmtId="0" fontId="25" fillId="12" borderId="16" xfId="3" applyFont="1" applyFill="1" applyBorder="1" applyAlignment="1">
      <alignment horizontal="center"/>
    </xf>
    <xf numFmtId="0" fontId="25" fillId="3" borderId="49" xfId="3" applyFont="1" applyFill="1" applyBorder="1" applyAlignment="1">
      <alignment horizontal="center"/>
    </xf>
    <xf numFmtId="0" fontId="25" fillId="6" borderId="49" xfId="3" applyFont="1" applyFill="1" applyBorder="1" applyAlignment="1">
      <alignment horizontal="center"/>
    </xf>
    <xf numFmtId="0" fontId="25" fillId="6" borderId="55" xfId="3" applyFont="1" applyFill="1" applyBorder="1" applyAlignment="1">
      <alignment horizontal="center"/>
    </xf>
    <xf numFmtId="0" fontId="25" fillId="0" borderId="45" xfId="3" applyFont="1" applyBorder="1"/>
    <xf numFmtId="0" fontId="25" fillId="0" borderId="45" xfId="3" applyFont="1" applyBorder="1" applyAlignment="1">
      <alignment horizontal="center" vertical="center" wrapText="1"/>
    </xf>
    <xf numFmtId="0" fontId="25" fillId="0" borderId="41" xfId="3" applyFont="1" applyBorder="1" applyAlignment="1">
      <alignment horizontal="center"/>
    </xf>
    <xf numFmtId="0" fontId="25" fillId="0" borderId="4" xfId="3" applyFont="1" applyBorder="1" applyAlignment="1">
      <alignment horizontal="center" vertical="center" wrapText="1"/>
    </xf>
    <xf numFmtId="0" fontId="25" fillId="0" borderId="32" xfId="3" applyFont="1" applyBorder="1" applyAlignment="1">
      <alignment horizontal="center"/>
    </xf>
    <xf numFmtId="0" fontId="22" fillId="0" borderId="48" xfId="3" applyFont="1" applyBorder="1" applyAlignment="1">
      <alignment horizontal="center" vertical="center" wrapText="1"/>
    </xf>
    <xf numFmtId="0" fontId="25" fillId="5" borderId="54" xfId="3" applyFont="1" applyFill="1" applyBorder="1" applyAlignment="1">
      <alignment horizontal="center"/>
    </xf>
    <xf numFmtId="0" fontId="25" fillId="5" borderId="49" xfId="3" applyFont="1" applyFill="1" applyBorder="1" applyAlignment="1">
      <alignment horizontal="center"/>
    </xf>
    <xf numFmtId="0" fontId="25" fillId="5" borderId="49" xfId="3" applyFont="1" applyFill="1" applyBorder="1"/>
    <xf numFmtId="0" fontId="25" fillId="5" borderId="49" xfId="3" applyFont="1" applyFill="1" applyBorder="1" applyAlignment="1">
      <alignment horizontal="center" vertical="center" wrapText="1"/>
    </xf>
    <xf numFmtId="0" fontId="25" fillId="5" borderId="55" xfId="3" applyFont="1" applyFill="1" applyBorder="1" applyAlignment="1">
      <alignment horizontal="center"/>
    </xf>
    <xf numFmtId="0" fontId="22" fillId="0" borderId="50" xfId="3" applyFont="1" applyBorder="1" applyAlignment="1">
      <alignment horizontal="center" vertical="center" wrapText="1"/>
    </xf>
    <xf numFmtId="0" fontId="25" fillId="0" borderId="60" xfId="3" applyFont="1" applyBorder="1" applyAlignment="1">
      <alignment horizontal="center"/>
    </xf>
    <xf numFmtId="0" fontId="25" fillId="5" borderId="60" xfId="3" applyFont="1" applyFill="1" applyBorder="1" applyAlignment="1">
      <alignment horizontal="center"/>
    </xf>
    <xf numFmtId="0" fontId="22" fillId="0" borderId="51" xfId="3" applyFont="1" applyBorder="1" applyAlignment="1">
      <alignment horizontal="center" vertical="center" wrapText="1"/>
    </xf>
    <xf numFmtId="0" fontId="25" fillId="0" borderId="61" xfId="3" applyFont="1" applyBorder="1" applyAlignment="1">
      <alignment horizontal="center"/>
    </xf>
    <xf numFmtId="0" fontId="25" fillId="3" borderId="46" xfId="3" applyFont="1" applyFill="1" applyBorder="1" applyAlignment="1">
      <alignment horizontal="center"/>
    </xf>
    <xf numFmtId="0" fontId="25" fillId="3" borderId="46" xfId="3" applyFont="1" applyFill="1" applyBorder="1"/>
    <xf numFmtId="0" fontId="25" fillId="3" borderId="46" xfId="3" applyFont="1" applyFill="1" applyBorder="1" applyAlignment="1">
      <alignment horizontal="center" vertical="center" wrapText="1"/>
    </xf>
    <xf numFmtId="0" fontId="25" fillId="6" borderId="46" xfId="3" applyFont="1" applyFill="1" applyBorder="1" applyAlignment="1">
      <alignment horizontal="center"/>
    </xf>
    <xf numFmtId="0" fontId="25" fillId="3" borderId="52" xfId="3" applyFont="1" applyFill="1" applyBorder="1" applyAlignment="1">
      <alignment horizontal="center"/>
    </xf>
    <xf numFmtId="0" fontId="22" fillId="0" borderId="18" xfId="3" applyFont="1" applyBorder="1" applyAlignment="1">
      <alignment horizontal="center" vertical="center"/>
    </xf>
    <xf numFmtId="0" fontId="22" fillId="0" borderId="10" xfId="3" applyFont="1" applyBorder="1" applyAlignment="1">
      <alignment horizontal="center" vertical="center"/>
    </xf>
    <xf numFmtId="0" fontId="22" fillId="0" borderId="12" xfId="3" applyFont="1" applyBorder="1" applyAlignment="1">
      <alignment horizontal="center" vertical="center"/>
    </xf>
    <xf numFmtId="0" fontId="22" fillId="0" borderId="15" xfId="3" applyFont="1" applyBorder="1" applyAlignment="1">
      <alignment horizontal="center" vertical="center"/>
    </xf>
    <xf numFmtId="0" fontId="25" fillId="5" borderId="15" xfId="3" applyFont="1" applyFill="1" applyBorder="1" applyAlignment="1">
      <alignment horizontal="center"/>
    </xf>
    <xf numFmtId="0" fontId="22" fillId="0" borderId="19" xfId="3" applyFont="1" applyBorder="1" applyAlignment="1">
      <alignment horizontal="center" vertical="center"/>
    </xf>
    <xf numFmtId="0" fontId="22" fillId="0" borderId="4" xfId="3" applyFont="1" applyBorder="1" applyAlignment="1">
      <alignment vertical="center" textRotation="90"/>
    </xf>
    <xf numFmtId="0" fontId="22" fillId="0" borderId="22" xfId="3" applyFont="1" applyBorder="1" applyAlignment="1">
      <alignment horizontal="center" vertical="center"/>
    </xf>
    <xf numFmtId="0" fontId="22" fillId="0" borderId="23" xfId="3" applyFont="1" applyBorder="1" applyAlignment="1">
      <alignment horizontal="center" vertical="center"/>
    </xf>
    <xf numFmtId="0" fontId="22" fillId="0" borderId="31" xfId="3" applyFont="1" applyBorder="1" applyAlignment="1">
      <alignment horizontal="center" vertical="center"/>
    </xf>
    <xf numFmtId="0" fontId="22" fillId="0" borderId="38" xfId="3" applyFont="1" applyBorder="1" applyAlignment="1">
      <alignment horizontal="center" vertical="center" wrapText="1"/>
    </xf>
    <xf numFmtId="0" fontId="25" fillId="0" borderId="14" xfId="3" applyFont="1" applyBorder="1"/>
    <xf numFmtId="0" fontId="25" fillId="6" borderId="18" xfId="3" applyFont="1" applyFill="1" applyBorder="1"/>
    <xf numFmtId="0" fontId="25" fillId="8" borderId="18" xfId="3" applyFont="1" applyFill="1" applyBorder="1"/>
    <xf numFmtId="0" fontId="22" fillId="0" borderId="14" xfId="3" applyFont="1" applyBorder="1" applyAlignment="1">
      <alignment horizontal="center"/>
    </xf>
    <xf numFmtId="0" fontId="20" fillId="0" borderId="34" xfId="3" applyFont="1" applyBorder="1" applyAlignment="1">
      <alignment horizontal="center" vertical="center" wrapText="1"/>
    </xf>
    <xf numFmtId="0" fontId="20" fillId="0" borderId="27" xfId="3" applyFont="1" applyBorder="1" applyAlignment="1">
      <alignment horizontal="center" vertical="center" wrapText="1"/>
    </xf>
    <xf numFmtId="0" fontId="20" fillId="0" borderId="24" xfId="3" applyFont="1" applyBorder="1" applyAlignment="1">
      <alignment horizontal="center" vertical="center" wrapText="1"/>
    </xf>
    <xf numFmtId="0" fontId="20" fillId="0" borderId="26" xfId="3" applyFont="1" applyBorder="1" applyAlignment="1">
      <alignment horizontal="center" vertical="center" wrapText="1"/>
    </xf>
    <xf numFmtId="0" fontId="20" fillId="0" borderId="28" xfId="3" applyFont="1" applyBorder="1" applyAlignment="1">
      <alignment horizontal="center" vertical="center" wrapText="1"/>
    </xf>
    <xf numFmtId="0" fontId="20" fillId="0" borderId="31" xfId="3" applyFont="1" applyBorder="1" applyAlignment="1">
      <alignment horizontal="center" vertical="center" wrapText="1"/>
    </xf>
    <xf numFmtId="0" fontId="20" fillId="0" borderId="20" xfId="3" applyFont="1" applyBorder="1" applyAlignment="1">
      <alignment horizontal="center" vertical="center" wrapText="1"/>
    </xf>
    <xf numFmtId="0" fontId="20" fillId="0" borderId="22" xfId="3" applyFont="1" applyBorder="1" applyAlignment="1">
      <alignment horizontal="center" vertical="center" wrapText="1"/>
    </xf>
    <xf numFmtId="0" fontId="20" fillId="0" borderId="54" xfId="3" applyFont="1" applyBorder="1" applyAlignment="1">
      <alignment horizontal="center" vertical="center" wrapText="1"/>
    </xf>
    <xf numFmtId="0" fontId="20" fillId="0" borderId="49" xfId="3" applyFont="1" applyBorder="1" applyAlignment="1">
      <alignment horizontal="center" vertical="center" wrapText="1"/>
    </xf>
    <xf numFmtId="0" fontId="20" fillId="0" borderId="60" xfId="3" applyFont="1" applyBorder="1" applyAlignment="1">
      <alignment horizontal="center" vertical="center" wrapText="1"/>
    </xf>
    <xf numFmtId="0" fontId="20" fillId="0" borderId="4" xfId="3" applyFont="1" applyBorder="1" applyAlignment="1">
      <alignment horizontal="center" vertical="center" wrapText="1"/>
    </xf>
    <xf numFmtId="0" fontId="27" fillId="0" borderId="4" xfId="3" applyFont="1" applyBorder="1" applyAlignment="1">
      <alignment horizontal="center"/>
    </xf>
    <xf numFmtId="0" fontId="27" fillId="0" borderId="4" xfId="3" applyFont="1" applyBorder="1"/>
    <xf numFmtId="0" fontId="27" fillId="0" borderId="4" xfId="3" applyFont="1" applyBorder="1" applyAlignment="1">
      <alignment horizontal="center" vertical="center" wrapText="1"/>
    </xf>
    <xf numFmtId="0" fontId="27" fillId="6" borderId="4" xfId="3" applyFont="1" applyFill="1" applyBorder="1" applyAlignment="1">
      <alignment horizontal="center"/>
    </xf>
    <xf numFmtId="0" fontId="27" fillId="0" borderId="32" xfId="3" applyFont="1" applyBorder="1" applyAlignment="1">
      <alignment horizontal="center"/>
    </xf>
    <xf numFmtId="0" fontId="25" fillId="8" borderId="4" xfId="3" applyFont="1" applyFill="1" applyBorder="1"/>
    <xf numFmtId="0" fontId="20" fillId="0" borderId="4" xfId="3" applyFont="1" applyBorder="1" applyAlignment="1">
      <alignment horizontal="center" vertical="center"/>
    </xf>
    <xf numFmtId="0" fontId="20" fillId="0" borderId="60" xfId="3" applyFont="1" applyBorder="1" applyAlignment="1">
      <alignment horizontal="center" vertical="center"/>
    </xf>
    <xf numFmtId="0" fontId="28" fillId="5" borderId="4" xfId="3" applyFont="1" applyFill="1" applyBorder="1"/>
    <xf numFmtId="0" fontId="28" fillId="5" borderId="4" xfId="3" applyFont="1" applyFill="1" applyBorder="1" applyAlignment="1">
      <alignment horizontal="center" vertical="center" wrapText="1"/>
    </xf>
    <xf numFmtId="0" fontId="28" fillId="5" borderId="4" xfId="3" applyFont="1" applyFill="1" applyBorder="1" applyAlignment="1">
      <alignment horizontal="center"/>
    </xf>
    <xf numFmtId="0" fontId="27" fillId="5" borderId="4" xfId="3" applyFont="1" applyFill="1" applyBorder="1" applyAlignment="1">
      <alignment horizontal="center"/>
    </xf>
    <xf numFmtId="0" fontId="27" fillId="5" borderId="32" xfId="3" applyFont="1" applyFill="1" applyBorder="1" applyAlignment="1">
      <alignment horizontal="center"/>
    </xf>
    <xf numFmtId="0" fontId="27" fillId="13" borderId="4" xfId="3" applyFont="1" applyFill="1" applyBorder="1" applyAlignment="1">
      <alignment horizontal="center"/>
    </xf>
    <xf numFmtId="0" fontId="25" fillId="8" borderId="4" xfId="3" applyFont="1" applyFill="1" applyBorder="1" applyAlignment="1">
      <alignment horizontal="center" vertical="center" wrapText="1"/>
    </xf>
    <xf numFmtId="0" fontId="32" fillId="0" borderId="53" xfId="3" applyFont="1" applyBorder="1" applyAlignment="1">
      <alignment horizontal="center" vertical="center" wrapText="1"/>
    </xf>
    <xf numFmtId="0" fontId="27" fillId="5" borderId="53" xfId="3" applyFont="1" applyFill="1" applyBorder="1" applyAlignment="1">
      <alignment horizontal="center"/>
    </xf>
    <xf numFmtId="0" fontId="27" fillId="13" borderId="53" xfId="3" applyFont="1" applyFill="1" applyBorder="1"/>
    <xf numFmtId="0" fontId="27" fillId="13" borderId="53" xfId="3" applyFont="1" applyFill="1" applyBorder="1" applyAlignment="1">
      <alignment horizontal="center" vertical="center" wrapText="1"/>
    </xf>
    <xf numFmtId="0" fontId="27" fillId="6" borderId="53" xfId="3" applyFont="1" applyFill="1" applyBorder="1" applyAlignment="1">
      <alignment horizontal="center"/>
    </xf>
    <xf numFmtId="0" fontId="27" fillId="13" borderId="53" xfId="3" applyFont="1" applyFill="1" applyBorder="1" applyAlignment="1">
      <alignment horizontal="center"/>
    </xf>
    <xf numFmtId="0" fontId="27" fillId="13" borderId="43" xfId="3" applyFont="1" applyFill="1" applyBorder="1" applyAlignment="1">
      <alignment horizontal="center"/>
    </xf>
    <xf numFmtId="0" fontId="20" fillId="0" borderId="32" xfId="3" applyFont="1" applyBorder="1" applyAlignment="1">
      <alignment horizontal="center" vertical="center" wrapText="1"/>
    </xf>
    <xf numFmtId="0" fontId="20" fillId="0" borderId="61" xfId="3" applyFont="1" applyBorder="1" applyAlignment="1">
      <alignment horizontal="center" vertical="center"/>
    </xf>
    <xf numFmtId="0" fontId="20" fillId="0" borderId="46" xfId="3" applyFont="1" applyBorder="1" applyAlignment="1">
      <alignment horizontal="center" vertical="center" wrapText="1"/>
    </xf>
    <xf numFmtId="0" fontId="20" fillId="0" borderId="52" xfId="3" applyFont="1" applyBorder="1" applyAlignment="1">
      <alignment horizontal="center" vertical="center" wrapText="1"/>
    </xf>
    <xf numFmtId="0" fontId="25" fillId="5" borderId="46" xfId="3" applyFont="1" applyFill="1" applyBorder="1" applyAlignment="1">
      <alignment horizontal="center"/>
    </xf>
    <xf numFmtId="0" fontId="25" fillId="5" borderId="46" xfId="3" applyFont="1" applyFill="1" applyBorder="1"/>
    <xf numFmtId="0" fontId="25" fillId="5" borderId="46" xfId="3" applyFont="1" applyFill="1" applyBorder="1" applyAlignment="1">
      <alignment horizontal="center" vertical="center" wrapText="1"/>
    </xf>
    <xf numFmtId="0" fontId="25" fillId="5" borderId="52" xfId="3" applyFont="1" applyFill="1" applyBorder="1" applyAlignment="1">
      <alignment horizontal="center"/>
    </xf>
    <xf numFmtId="0" fontId="20" fillId="0" borderId="62" xfId="3" applyFont="1" applyBorder="1" applyAlignment="1">
      <alignment horizontal="center" vertical="center"/>
    </xf>
    <xf numFmtId="0" fontId="20" fillId="0" borderId="45" xfId="3" applyFont="1" applyBorder="1" applyAlignment="1">
      <alignment horizontal="center" vertical="center" wrapText="1"/>
    </xf>
    <xf numFmtId="0" fontId="25" fillId="5" borderId="45" xfId="3" applyFont="1" applyFill="1" applyBorder="1"/>
    <xf numFmtId="0" fontId="25" fillId="5" borderId="45" xfId="3" applyFont="1" applyFill="1" applyBorder="1" applyAlignment="1">
      <alignment horizontal="center" vertical="center" wrapText="1"/>
    </xf>
    <xf numFmtId="0" fontId="25" fillId="5" borderId="45" xfId="3" applyFont="1" applyFill="1" applyBorder="1" applyAlignment="1">
      <alignment horizontal="center"/>
    </xf>
    <xf numFmtId="0" fontId="25" fillId="5" borderId="41" xfId="3" applyFont="1" applyFill="1" applyBorder="1" applyAlignment="1">
      <alignment horizontal="center"/>
    </xf>
    <xf numFmtId="0" fontId="20" fillId="0" borderId="35" xfId="3" applyFont="1" applyBorder="1" applyAlignment="1">
      <alignment horizontal="center" vertical="center"/>
    </xf>
    <xf numFmtId="0" fontId="25" fillId="9" borderId="27" xfId="3" applyFont="1" applyFill="1" applyBorder="1"/>
    <xf numFmtId="0" fontId="25" fillId="9" borderId="27" xfId="3" applyFont="1" applyFill="1" applyBorder="1" applyAlignment="1">
      <alignment horizontal="center"/>
    </xf>
    <xf numFmtId="0" fontId="25" fillId="9" borderId="33" xfId="3" applyFont="1" applyFill="1" applyBorder="1" applyAlignment="1">
      <alignment horizontal="center"/>
    </xf>
    <xf numFmtId="0" fontId="20" fillId="0" borderId="25" xfId="3" applyFont="1" applyBorder="1" applyAlignment="1">
      <alignment horizontal="center" vertical="center"/>
    </xf>
    <xf numFmtId="0" fontId="25" fillId="9" borderId="26" xfId="3" applyFont="1" applyFill="1" applyBorder="1"/>
    <xf numFmtId="0" fontId="25" fillId="9" borderId="23" xfId="3" applyFont="1" applyFill="1" applyBorder="1" applyAlignment="1">
      <alignment horizontal="center"/>
    </xf>
    <xf numFmtId="0" fontId="20" fillId="0" borderId="30" xfId="3" applyFont="1" applyBorder="1" applyAlignment="1">
      <alignment horizontal="center" vertical="center"/>
    </xf>
    <xf numFmtId="0" fontId="20" fillId="0" borderId="18" xfId="3" applyFont="1" applyBorder="1" applyAlignment="1">
      <alignment horizontal="center" vertical="center"/>
    </xf>
    <xf numFmtId="0" fontId="25" fillId="8" borderId="24" xfId="3" applyFont="1" applyFill="1" applyBorder="1" applyAlignment="1">
      <alignment horizontal="center" vertical="center"/>
    </xf>
    <xf numFmtId="0" fontId="20" fillId="0" borderId="26" xfId="3" applyFont="1" applyBorder="1" applyAlignment="1">
      <alignment horizontal="center" vertical="center"/>
    </xf>
    <xf numFmtId="0" fontId="20" fillId="0" borderId="24" xfId="3" applyFont="1" applyBorder="1" applyAlignment="1">
      <alignment horizontal="center" vertical="center"/>
    </xf>
    <xf numFmtId="0" fontId="33" fillId="0" borderId="25" xfId="3" applyFont="1" applyBorder="1" applyAlignment="1">
      <alignment horizontal="center" vertical="center" wrapText="1"/>
    </xf>
    <xf numFmtId="0" fontId="33" fillId="0" borderId="24" xfId="3" applyFont="1" applyBorder="1" applyAlignment="1">
      <alignment horizontal="center" vertical="center" wrapText="1"/>
    </xf>
    <xf numFmtId="0" fontId="33" fillId="0" borderId="26" xfId="3" applyFont="1" applyBorder="1" applyAlignment="1">
      <alignment horizontal="center" vertical="center" wrapText="1"/>
    </xf>
    <xf numFmtId="0" fontId="25" fillId="9" borderId="26" xfId="3" applyFont="1" applyFill="1" applyBorder="1" applyAlignment="1">
      <alignment horizontal="center" vertical="center"/>
    </xf>
    <xf numFmtId="0" fontId="25" fillId="9" borderId="24" xfId="3" applyFont="1" applyFill="1" applyBorder="1" applyAlignment="1">
      <alignment horizontal="center" vertical="center"/>
    </xf>
    <xf numFmtId="0" fontId="25" fillId="0" borderId="26" xfId="3" applyFont="1" applyBorder="1" applyAlignment="1">
      <alignment vertical="center"/>
    </xf>
    <xf numFmtId="0" fontId="25" fillId="0" borderId="24" xfId="3" applyFont="1" applyBorder="1" applyAlignment="1">
      <alignment vertical="center"/>
    </xf>
    <xf numFmtId="0" fontId="25" fillId="9" borderId="23" xfId="3" applyFont="1" applyFill="1" applyBorder="1" applyAlignment="1">
      <alignment horizontal="center" vertical="center"/>
    </xf>
    <xf numFmtId="0" fontId="33" fillId="0" borderId="28" xfId="3" applyFont="1" applyBorder="1" applyAlignment="1">
      <alignment horizontal="center" vertical="center" wrapText="1"/>
    </xf>
    <xf numFmtId="0" fontId="25" fillId="9" borderId="31" xfId="3" applyFont="1" applyFill="1" applyBorder="1" applyAlignment="1">
      <alignment horizontal="center"/>
    </xf>
    <xf numFmtId="0" fontId="25" fillId="9" borderId="28" xfId="3" applyFont="1" applyFill="1" applyBorder="1" applyAlignment="1">
      <alignment horizontal="center"/>
    </xf>
    <xf numFmtId="0" fontId="25" fillId="9" borderId="29" xfId="3" applyFont="1" applyFill="1" applyBorder="1" applyAlignment="1">
      <alignment horizontal="center"/>
    </xf>
    <xf numFmtId="0" fontId="25" fillId="9" borderId="36" xfId="3" applyFont="1" applyFill="1" applyBorder="1" applyAlignment="1">
      <alignment horizontal="center"/>
    </xf>
    <xf numFmtId="0" fontId="25" fillId="9" borderId="37" xfId="3" applyFont="1" applyFill="1" applyBorder="1" applyAlignment="1">
      <alignment horizontal="center"/>
    </xf>
    <xf numFmtId="0" fontId="25" fillId="9" borderId="38" xfId="3" applyFont="1" applyFill="1" applyBorder="1" applyAlignment="1">
      <alignment horizontal="center"/>
    </xf>
    <xf numFmtId="0" fontId="33" fillId="0" borderId="34" xfId="3" applyFont="1" applyBorder="1" applyAlignment="1">
      <alignment horizontal="center" vertical="center" wrapText="1"/>
    </xf>
    <xf numFmtId="0" fontId="33" fillId="0" borderId="24" xfId="3" applyFont="1" applyBorder="1" applyAlignment="1">
      <alignment horizontal="center"/>
    </xf>
    <xf numFmtId="0" fontId="33" fillId="0" borderId="39" xfId="3" applyFont="1" applyBorder="1" applyAlignment="1">
      <alignment horizontal="center" vertical="center" wrapText="1"/>
    </xf>
    <xf numFmtId="0" fontId="33" fillId="0" borderId="37" xfId="3" applyFont="1" applyBorder="1" applyAlignment="1">
      <alignment horizontal="center" vertical="center" wrapText="1"/>
    </xf>
    <xf numFmtId="0" fontId="33" fillId="0" borderId="36" xfId="3" applyFont="1" applyBorder="1" applyAlignment="1">
      <alignment horizontal="center" vertical="center" wrapText="1"/>
    </xf>
    <xf numFmtId="0" fontId="33" fillId="0" borderId="21" xfId="3" applyFont="1" applyBorder="1" applyAlignment="1">
      <alignment horizontal="center" vertical="center" wrapText="1"/>
    </xf>
    <xf numFmtId="0" fontId="33" fillId="0" borderId="20" xfId="3" applyFont="1" applyBorder="1" applyAlignment="1">
      <alignment horizontal="center" vertical="center" wrapText="1"/>
    </xf>
    <xf numFmtId="0" fontId="33" fillId="0" borderId="22" xfId="3" applyFont="1" applyBorder="1" applyAlignment="1">
      <alignment horizontal="center" vertical="center" wrapText="1"/>
    </xf>
    <xf numFmtId="0" fontId="25" fillId="5" borderId="36" xfId="3" applyFont="1" applyFill="1" applyBorder="1" applyAlignment="1">
      <alignment horizontal="center" vertical="center"/>
    </xf>
    <xf numFmtId="0" fontId="25" fillId="6" borderId="37" xfId="3" applyFont="1" applyFill="1" applyBorder="1" applyAlignment="1">
      <alignment horizontal="center" vertical="center"/>
    </xf>
    <xf numFmtId="0" fontId="25" fillId="6" borderId="36" xfId="3" applyFont="1" applyFill="1" applyBorder="1" applyAlignment="1">
      <alignment horizontal="center" vertical="center"/>
    </xf>
    <xf numFmtId="0" fontId="25" fillId="3" borderId="36" xfId="3" applyFont="1" applyFill="1" applyBorder="1" applyAlignment="1">
      <alignment horizontal="center"/>
    </xf>
    <xf numFmtId="0" fontId="25" fillId="7" borderId="27" xfId="3" applyFont="1" applyFill="1" applyBorder="1"/>
    <xf numFmtId="0" fontId="25" fillId="7" borderId="37" xfId="3" applyFont="1" applyFill="1" applyBorder="1" applyAlignment="1">
      <alignment horizontal="center"/>
    </xf>
    <xf numFmtId="0" fontId="25" fillId="7" borderId="38" xfId="3" applyFont="1" applyFill="1" applyBorder="1" applyAlignment="1">
      <alignment horizontal="center"/>
    </xf>
    <xf numFmtId="0" fontId="33" fillId="0" borderId="31" xfId="3" applyFont="1" applyBorder="1" applyAlignment="1">
      <alignment horizontal="center" vertical="center" wrapText="1"/>
    </xf>
    <xf numFmtId="0" fontId="25" fillId="5" borderId="19" xfId="3" applyFont="1" applyFill="1" applyBorder="1"/>
    <xf numFmtId="0" fontId="25" fillId="5" borderId="20" xfId="3" applyFont="1" applyFill="1" applyBorder="1" applyAlignment="1">
      <alignment horizontal="center" vertical="center" wrapText="1"/>
    </xf>
    <xf numFmtId="0" fontId="33" fillId="0" borderId="4" xfId="3" applyFont="1" applyBorder="1" applyAlignment="1">
      <alignment horizontal="center" vertical="center" wrapText="1"/>
    </xf>
    <xf numFmtId="0" fontId="25" fillId="3" borderId="63" xfId="3" applyFont="1" applyFill="1" applyBorder="1" applyAlignment="1">
      <alignment horizontal="center"/>
    </xf>
    <xf numFmtId="0" fontId="25" fillId="3" borderId="31" xfId="3" applyFont="1" applyFill="1" applyBorder="1" applyAlignment="1">
      <alignment horizontal="center"/>
    </xf>
    <xf numFmtId="0" fontId="25" fillId="3" borderId="29" xfId="3" applyFont="1" applyFill="1" applyBorder="1"/>
    <xf numFmtId="0" fontId="25" fillId="3" borderId="28" xfId="3" applyFont="1" applyFill="1" applyBorder="1" applyAlignment="1">
      <alignment horizontal="center" vertical="center" wrapText="1"/>
    </xf>
    <xf numFmtId="0" fontId="25" fillId="6" borderId="29" xfId="3" applyFont="1" applyFill="1" applyBorder="1" applyAlignment="1">
      <alignment horizontal="center"/>
    </xf>
    <xf numFmtId="0" fontId="25" fillId="3" borderId="29" xfId="3" applyFont="1" applyFill="1" applyBorder="1" applyAlignment="1">
      <alignment horizontal="center"/>
    </xf>
    <xf numFmtId="0" fontId="25" fillId="3" borderId="23" xfId="3" applyFont="1" applyFill="1" applyBorder="1" applyAlignment="1">
      <alignment horizontal="center"/>
    </xf>
    <xf numFmtId="0" fontId="25" fillId="3" borderId="23" xfId="3" applyFont="1" applyFill="1" applyBorder="1"/>
    <xf numFmtId="0" fontId="25" fillId="3" borderId="24" xfId="3" applyFont="1" applyFill="1" applyBorder="1" applyAlignment="1">
      <alignment horizontal="center" vertical="center" wrapText="1"/>
    </xf>
    <xf numFmtId="0" fontId="33" fillId="0" borderId="53" xfId="3" applyFont="1" applyBorder="1" applyAlignment="1">
      <alignment horizontal="center" vertical="center" wrapText="1"/>
    </xf>
    <xf numFmtId="0" fontId="25" fillId="3" borderId="7" xfId="3" applyFont="1" applyFill="1" applyBorder="1" applyAlignment="1">
      <alignment horizontal="center"/>
    </xf>
    <xf numFmtId="0" fontId="25" fillId="3" borderId="7" xfId="3" applyFont="1" applyFill="1" applyBorder="1"/>
    <xf numFmtId="0" fontId="25" fillId="3" borderId="14" xfId="3" applyFont="1" applyFill="1" applyBorder="1" applyAlignment="1">
      <alignment horizontal="center" vertical="center" wrapText="1"/>
    </xf>
    <xf numFmtId="0" fontId="25" fillId="6" borderId="7" xfId="3" applyFont="1" applyFill="1" applyBorder="1" applyAlignment="1">
      <alignment horizontal="center"/>
    </xf>
    <xf numFmtId="0" fontId="33" fillId="0" borderId="20" xfId="3" applyFont="1" applyBorder="1" applyAlignment="1">
      <alignment horizontal="center"/>
    </xf>
    <xf numFmtId="0" fontId="25" fillId="0" borderId="40" xfId="3" applyFont="1" applyBorder="1" applyAlignment="1">
      <alignment vertical="center"/>
    </xf>
    <xf numFmtId="0" fontId="25" fillId="0" borderId="55" xfId="3" applyFont="1" applyBorder="1"/>
    <xf numFmtId="0" fontId="25" fillId="0" borderId="42" xfId="3" applyFont="1" applyBorder="1" applyAlignment="1">
      <alignment vertical="center"/>
    </xf>
    <xf numFmtId="0" fontId="25" fillId="0" borderId="32" xfId="3" applyFont="1" applyBorder="1"/>
    <xf numFmtId="0" fontId="25" fillId="0" borderId="43" xfId="3" applyFont="1" applyBorder="1"/>
    <xf numFmtId="0" fontId="25" fillId="0" borderId="52" xfId="3" applyFont="1" applyBorder="1"/>
    <xf numFmtId="0" fontId="25" fillId="5" borderId="22" xfId="3" applyFont="1" applyFill="1" applyBorder="1" applyAlignment="1">
      <alignment horizontal="center" vertical="center"/>
    </xf>
    <xf numFmtId="0" fontId="25" fillId="8" borderId="26" xfId="3" applyFont="1" applyFill="1" applyBorder="1"/>
    <xf numFmtId="0" fontId="25" fillId="8" borderId="24" xfId="3" applyFont="1" applyFill="1" applyBorder="1"/>
    <xf numFmtId="0" fontId="25" fillId="8" borderId="26" xfId="3" applyFont="1" applyFill="1" applyBorder="1" applyAlignment="1">
      <alignment horizontal="center" vertical="center" wrapText="1"/>
    </xf>
    <xf numFmtId="0" fontId="25" fillId="8" borderId="26" xfId="3" applyFont="1" applyFill="1" applyBorder="1" applyAlignment="1">
      <alignment horizontal="center"/>
    </xf>
    <xf numFmtId="0" fontId="25" fillId="5" borderId="15" xfId="3" applyFont="1" applyFill="1" applyBorder="1" applyAlignment="1">
      <alignment horizontal="center" vertical="center" wrapText="1"/>
    </xf>
    <xf numFmtId="0" fontId="25" fillId="9" borderId="27" xfId="3" applyFont="1" applyFill="1" applyBorder="1" applyAlignment="1">
      <alignment horizontal="center" vertical="center"/>
    </xf>
    <xf numFmtId="0" fontId="25" fillId="9" borderId="34" xfId="3" applyFont="1" applyFill="1" applyBorder="1" applyAlignment="1">
      <alignment horizontal="center" vertical="center"/>
    </xf>
    <xf numFmtId="0" fontId="25" fillId="0" borderId="27" xfId="3" applyFont="1" applyBorder="1" applyAlignment="1">
      <alignment vertical="center"/>
    </xf>
    <xf numFmtId="0" fontId="25" fillId="6" borderId="34" xfId="3" applyFont="1" applyFill="1" applyBorder="1" applyAlignment="1">
      <alignment horizontal="center" vertical="center"/>
    </xf>
    <xf numFmtId="0" fontId="25" fillId="6" borderId="27" xfId="3" applyFont="1" applyFill="1" applyBorder="1" applyAlignment="1">
      <alignment horizontal="center" vertical="center"/>
    </xf>
    <xf numFmtId="0" fontId="25" fillId="5" borderId="26" xfId="3" applyFont="1" applyFill="1" applyBorder="1" applyAlignment="1">
      <alignment horizontal="center" vertical="center"/>
    </xf>
    <xf numFmtId="0" fontId="25" fillId="5" borderId="26" xfId="3" applyFont="1" applyFill="1" applyBorder="1" applyAlignment="1">
      <alignment vertical="center"/>
    </xf>
    <xf numFmtId="0" fontId="25" fillId="5" borderId="23" xfId="3" applyFont="1" applyFill="1" applyBorder="1" applyAlignment="1">
      <alignment horizontal="center" vertical="center"/>
    </xf>
    <xf numFmtId="0" fontId="25" fillId="5" borderId="31" xfId="3" applyFont="1" applyFill="1" applyBorder="1" applyAlignment="1">
      <alignment horizontal="center" vertical="center"/>
    </xf>
    <xf numFmtId="0" fontId="25" fillId="5" borderId="31" xfId="3" applyFont="1" applyFill="1" applyBorder="1" applyAlignment="1">
      <alignment vertical="center"/>
    </xf>
    <xf numFmtId="0" fontId="25" fillId="5" borderId="29" xfId="3" applyFont="1" applyFill="1" applyBorder="1" applyAlignment="1">
      <alignment horizontal="center" vertical="center"/>
    </xf>
    <xf numFmtId="0" fontId="25" fillId="5" borderId="20" xfId="3" applyFont="1" applyFill="1" applyBorder="1" applyAlignment="1">
      <alignment horizontal="center" vertical="center"/>
    </xf>
    <xf numFmtId="0" fontId="25" fillId="5" borderId="22" xfId="3" applyFont="1" applyFill="1" applyBorder="1" applyAlignment="1">
      <alignment vertical="center"/>
    </xf>
    <xf numFmtId="0" fontId="25" fillId="5" borderId="19" xfId="3" applyFont="1" applyFill="1" applyBorder="1" applyAlignment="1">
      <alignment horizontal="center" vertical="center"/>
    </xf>
    <xf numFmtId="0" fontId="27" fillId="8" borderId="26" xfId="3" applyFont="1" applyFill="1" applyBorder="1" applyAlignment="1">
      <alignment horizontal="center" vertical="center"/>
    </xf>
    <xf numFmtId="0" fontId="27" fillId="8" borderId="26" xfId="3" applyFont="1" applyFill="1" applyBorder="1"/>
    <xf numFmtId="0" fontId="27" fillId="8" borderId="24" xfId="3" applyFont="1" applyFill="1" applyBorder="1"/>
    <xf numFmtId="0" fontId="25" fillId="9" borderId="22" xfId="3" applyFont="1" applyFill="1" applyBorder="1" applyAlignment="1">
      <alignment horizontal="center" vertical="center"/>
    </xf>
    <xf numFmtId="0" fontId="25" fillId="9" borderId="20" xfId="3" applyFont="1" applyFill="1" applyBorder="1" applyAlignment="1">
      <alignment horizontal="center" vertical="center"/>
    </xf>
    <xf numFmtId="0" fontId="25" fillId="9" borderId="36" xfId="3" applyFont="1" applyFill="1" applyBorder="1" applyAlignment="1">
      <alignment horizontal="center" vertical="center"/>
    </xf>
    <xf numFmtId="0" fontId="25" fillId="9" borderId="37" xfId="3" applyFont="1" applyFill="1" applyBorder="1" applyAlignment="1">
      <alignment horizontal="center" vertical="center"/>
    </xf>
    <xf numFmtId="0" fontId="25" fillId="0" borderId="9" xfId="3" applyFont="1" applyBorder="1" applyAlignment="1">
      <alignment horizontal="center" vertical="center"/>
    </xf>
    <xf numFmtId="0" fontId="25" fillId="0" borderId="5" xfId="3" applyFont="1" applyBorder="1" applyAlignment="1">
      <alignment horizontal="center"/>
    </xf>
    <xf numFmtId="0" fontId="25" fillId="0" borderId="5" xfId="3" applyFont="1" applyBorder="1"/>
    <xf numFmtId="0" fontId="25" fillId="0" borderId="5" xfId="3" applyFont="1" applyBorder="1" applyAlignment="1">
      <alignment horizontal="center" vertical="center"/>
    </xf>
    <xf numFmtId="0" fontId="25" fillId="0" borderId="5" xfId="3" applyFont="1" applyBorder="1" applyAlignment="1">
      <alignment vertical="center"/>
    </xf>
    <xf numFmtId="0" fontId="25" fillId="0" borderId="5" xfId="3" applyFont="1" applyBorder="1" applyAlignment="1">
      <alignment horizontal="center" vertical="center" wrapText="1"/>
    </xf>
    <xf numFmtId="0" fontId="25" fillId="0" borderId="64" xfId="3" applyFont="1" applyBorder="1" applyAlignment="1">
      <alignment horizontal="center" vertical="center"/>
    </xf>
    <xf numFmtId="0" fontId="25" fillId="9" borderId="17" xfId="3" applyFont="1" applyFill="1" applyBorder="1" applyAlignment="1">
      <alignment horizontal="center" vertical="center"/>
    </xf>
    <xf numFmtId="0" fontId="25" fillId="9" borderId="15" xfId="3" applyFont="1" applyFill="1" applyBorder="1" applyAlignment="1">
      <alignment horizontal="center" vertical="center"/>
    </xf>
    <xf numFmtId="0" fontId="25" fillId="0" borderId="17" xfId="3" applyFont="1" applyBorder="1" applyAlignment="1">
      <alignment horizontal="center" vertical="center"/>
    </xf>
    <xf numFmtId="0" fontId="25" fillId="9" borderId="16" xfId="3" applyFont="1" applyFill="1" applyBorder="1" applyAlignment="1">
      <alignment horizontal="center"/>
    </xf>
    <xf numFmtId="0" fontId="25" fillId="9" borderId="31" xfId="3" applyFont="1" applyFill="1" applyBorder="1" applyAlignment="1">
      <alignment horizontal="center" vertical="center"/>
    </xf>
    <xf numFmtId="0" fontId="25" fillId="5" borderId="12" xfId="3" applyFont="1" applyFill="1" applyBorder="1" applyAlignment="1">
      <alignment horizontal="center" vertical="center"/>
    </xf>
    <xf numFmtId="0" fontId="25" fillId="5" borderId="18" xfId="3" applyFont="1" applyFill="1" applyBorder="1" applyAlignment="1">
      <alignment horizontal="center" vertical="center"/>
    </xf>
    <xf numFmtId="0" fontId="25" fillId="9" borderId="0" xfId="3" applyFont="1" applyFill="1" applyAlignment="1">
      <alignment horizontal="center" vertical="center"/>
    </xf>
    <xf numFmtId="0" fontId="25" fillId="9" borderId="14" xfId="3" applyFont="1" applyFill="1" applyBorder="1" applyAlignment="1">
      <alignment horizontal="center" vertical="center"/>
    </xf>
    <xf numFmtId="0" fontId="25" fillId="9" borderId="7" xfId="3" applyFont="1" applyFill="1" applyBorder="1" applyAlignment="1">
      <alignment horizontal="center"/>
    </xf>
    <xf numFmtId="0" fontId="25" fillId="6" borderId="18" xfId="3" applyFont="1" applyFill="1" applyBorder="1" applyAlignment="1">
      <alignment horizontal="center"/>
    </xf>
    <xf numFmtId="0" fontId="25" fillId="6" borderId="12" xfId="3" applyFont="1" applyFill="1" applyBorder="1" applyAlignment="1">
      <alignment horizontal="center"/>
    </xf>
    <xf numFmtId="0" fontId="25" fillId="0" borderId="0" xfId="3" applyFont="1" applyAlignment="1">
      <alignment horizontal="center" vertical="center"/>
    </xf>
    <xf numFmtId="0" fontId="25" fillId="9" borderId="12" xfId="3" applyFont="1" applyFill="1" applyBorder="1" applyAlignment="1">
      <alignment horizontal="center" vertical="center"/>
    </xf>
    <xf numFmtId="0" fontId="27" fillId="0" borderId="31" xfId="3" applyFont="1" applyBorder="1" applyAlignment="1">
      <alignment horizontal="center"/>
    </xf>
    <xf numFmtId="0" fontId="27" fillId="0" borderId="28" xfId="3" applyFont="1" applyBorder="1" applyAlignment="1">
      <alignment horizontal="center"/>
    </xf>
    <xf numFmtId="0" fontId="27" fillId="0" borderId="31" xfId="3" applyFont="1" applyBorder="1"/>
    <xf numFmtId="0" fontId="27" fillId="0" borderId="28" xfId="3" applyFont="1" applyBorder="1"/>
    <xf numFmtId="0" fontId="27" fillId="0" borderId="0" xfId="3" applyFont="1" applyAlignment="1">
      <alignment horizontal="center" vertical="center" wrapText="1"/>
    </xf>
    <xf numFmtId="0" fontId="27" fillId="6" borderId="28" xfId="3" applyFont="1" applyFill="1" applyBorder="1" applyAlignment="1">
      <alignment horizontal="center"/>
    </xf>
    <xf numFmtId="0" fontId="27" fillId="6" borderId="31" xfId="3" applyFont="1" applyFill="1" applyBorder="1" applyAlignment="1">
      <alignment horizontal="center"/>
    </xf>
    <xf numFmtId="0" fontId="27" fillId="0" borderId="29" xfId="3" applyFont="1" applyBorder="1" applyAlignment="1">
      <alignment horizontal="center"/>
    </xf>
    <xf numFmtId="0" fontId="28" fillId="0" borderId="37" xfId="3" applyFont="1" applyBorder="1" applyAlignment="1">
      <alignment horizontal="center" vertical="center"/>
    </xf>
    <xf numFmtId="0" fontId="25" fillId="13" borderId="26" xfId="3" applyFont="1" applyFill="1" applyBorder="1" applyAlignment="1">
      <alignment horizontal="center"/>
    </xf>
    <xf numFmtId="0" fontId="25" fillId="13" borderId="24" xfId="3" applyFont="1" applyFill="1" applyBorder="1" applyAlignment="1">
      <alignment horizontal="center"/>
    </xf>
    <xf numFmtId="0" fontId="25" fillId="13" borderId="24" xfId="3" applyFont="1" applyFill="1" applyBorder="1"/>
    <xf numFmtId="0" fontId="25" fillId="13" borderId="27" xfId="3" applyFont="1" applyFill="1" applyBorder="1" applyAlignment="1">
      <alignment horizontal="center" vertical="center" wrapText="1"/>
    </xf>
    <xf numFmtId="0" fontId="25" fillId="13" borderId="23" xfId="3" applyFont="1" applyFill="1" applyBorder="1" applyAlignment="1">
      <alignment horizontal="center"/>
    </xf>
    <xf numFmtId="0" fontId="23" fillId="13" borderId="23" xfId="3" applyFont="1" applyFill="1" applyBorder="1" applyAlignment="1">
      <alignment horizontal="center" vertical="center"/>
    </xf>
    <xf numFmtId="0" fontId="23" fillId="13" borderId="24" xfId="3" applyFont="1" applyFill="1" applyBorder="1" applyAlignment="1">
      <alignment horizontal="center" vertical="center"/>
    </xf>
    <xf numFmtId="0" fontId="25" fillId="0" borderId="41" xfId="3" applyFont="1" applyBorder="1"/>
    <xf numFmtId="0" fontId="25" fillId="5" borderId="27" xfId="3" applyFont="1" applyFill="1" applyBorder="1" applyAlignment="1">
      <alignment horizontal="center" vertical="center"/>
    </xf>
    <xf numFmtId="0" fontId="25" fillId="5" borderId="34" xfId="3" applyFont="1" applyFill="1" applyBorder="1" applyAlignment="1">
      <alignment horizontal="center" vertical="center"/>
    </xf>
    <xf numFmtId="0" fontId="25" fillId="9" borderId="28" xfId="3" applyFont="1" applyFill="1" applyBorder="1" applyAlignment="1">
      <alignment horizontal="center" vertical="center"/>
    </xf>
    <xf numFmtId="0" fontId="28" fillId="9" borderId="26" xfId="3" applyFont="1" applyFill="1" applyBorder="1" applyAlignment="1">
      <alignment horizontal="center" vertical="center"/>
    </xf>
    <xf numFmtId="0" fontId="28" fillId="9" borderId="24" xfId="3" applyFont="1" applyFill="1" applyBorder="1" applyAlignment="1">
      <alignment horizontal="center" vertical="center"/>
    </xf>
    <xf numFmtId="0" fontId="28" fillId="0" borderId="27" xfId="3" applyFont="1" applyBorder="1" applyAlignment="1">
      <alignment horizontal="center" vertical="center" wrapText="1"/>
    </xf>
    <xf numFmtId="0" fontId="28" fillId="6" borderId="24" xfId="3" applyFont="1" applyFill="1" applyBorder="1" applyAlignment="1">
      <alignment horizontal="center"/>
    </xf>
    <xf numFmtId="0" fontId="28" fillId="6" borderId="26" xfId="3" applyFont="1" applyFill="1" applyBorder="1" applyAlignment="1">
      <alignment horizontal="center"/>
    </xf>
    <xf numFmtId="0" fontId="28" fillId="0" borderId="24" xfId="3" applyFont="1" applyBorder="1" applyAlignment="1">
      <alignment horizontal="center"/>
    </xf>
    <xf numFmtId="0" fontId="28" fillId="9" borderId="23" xfId="3" applyFont="1" applyFill="1" applyBorder="1" applyAlignment="1">
      <alignment horizontal="center"/>
    </xf>
    <xf numFmtId="0" fontId="25" fillId="8" borderId="20" xfId="3" applyFont="1" applyFill="1" applyBorder="1" applyAlignment="1">
      <alignment horizontal="center" vertical="center"/>
    </xf>
    <xf numFmtId="0" fontId="25" fillId="6" borderId="20" xfId="3" applyFont="1" applyFill="1" applyBorder="1" applyAlignment="1">
      <alignment horizontal="center" vertical="center"/>
    </xf>
    <xf numFmtId="0" fontId="25" fillId="6" borderId="22" xfId="3" applyFont="1" applyFill="1" applyBorder="1" applyAlignment="1">
      <alignment horizontal="center" vertical="center"/>
    </xf>
    <xf numFmtId="0" fontId="25" fillId="0" borderId="23" xfId="3" applyFont="1" applyBorder="1" applyAlignment="1">
      <alignment horizontal="center" vertical="center"/>
    </xf>
    <xf numFmtId="0" fontId="25" fillId="0" borderId="36" xfId="3" applyFont="1" applyBorder="1" applyAlignment="1">
      <alignment horizontal="center" vertical="center"/>
    </xf>
    <xf numFmtId="0" fontId="25" fillId="0" borderId="36" xfId="3" applyFont="1" applyBorder="1" applyAlignment="1">
      <alignment vertical="center"/>
    </xf>
    <xf numFmtId="0" fontId="25" fillId="0" borderId="38" xfId="3" applyFont="1" applyBorder="1" applyAlignment="1">
      <alignment horizontal="center" vertical="center"/>
    </xf>
    <xf numFmtId="0" fontId="23" fillId="0" borderId="38" xfId="3" applyFont="1" applyBorder="1" applyAlignment="1">
      <alignment horizontal="center" vertical="center"/>
    </xf>
    <xf numFmtId="0" fontId="23" fillId="0" borderId="37" xfId="3" applyFont="1" applyBorder="1" applyAlignment="1">
      <alignment horizontal="center" vertical="center"/>
    </xf>
    <xf numFmtId="0" fontId="34" fillId="14" borderId="66" xfId="0" applyFont="1" applyFill="1" applyBorder="1" applyAlignment="1">
      <alignment horizontal="center" vertical="center"/>
    </xf>
    <xf numFmtId="0" fontId="34" fillId="15" borderId="66" xfId="0" applyFont="1" applyFill="1" applyBorder="1" applyAlignment="1">
      <alignment horizontal="center" vertical="center"/>
    </xf>
    <xf numFmtId="0" fontId="11" fillId="2" borderId="1" xfId="0" applyFont="1" applyFill="1" applyBorder="1" applyAlignment="1" applyProtection="1">
      <alignment horizontal="center" vertical="center"/>
    </xf>
    <xf numFmtId="0" fontId="11" fillId="2" borderId="2" xfId="0" applyFont="1" applyFill="1" applyBorder="1" applyAlignment="1" applyProtection="1">
      <alignment horizontal="center" vertical="center"/>
    </xf>
    <xf numFmtId="0" fontId="11" fillId="2" borderId="3" xfId="0" applyFont="1" applyFill="1" applyBorder="1" applyAlignment="1" applyProtection="1">
      <alignment horizontal="center" vertical="center"/>
    </xf>
    <xf numFmtId="0" fontId="11" fillId="2" borderId="7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2" borderId="8" xfId="0" applyFont="1" applyFill="1" applyBorder="1" applyAlignment="1" applyProtection="1">
      <alignment horizontal="center" vertical="center"/>
    </xf>
    <xf numFmtId="0" fontId="22" fillId="0" borderId="10" xfId="3" applyFont="1" applyBorder="1" applyAlignment="1">
      <alignment horizontal="center" textRotation="90" wrapText="1"/>
    </xf>
    <xf numFmtId="0" fontId="22" fillId="0" borderId="14" xfId="3" applyFont="1" applyBorder="1" applyAlignment="1">
      <alignment horizontal="center" textRotation="90" wrapText="1"/>
    </xf>
    <xf numFmtId="0" fontId="22" fillId="0" borderId="15" xfId="3" applyFont="1" applyBorder="1" applyAlignment="1">
      <alignment horizontal="center" textRotation="90" wrapText="1"/>
    </xf>
    <xf numFmtId="0" fontId="22" fillId="0" borderId="1" xfId="3" applyFont="1" applyBorder="1" applyAlignment="1">
      <alignment horizontal="center" textRotation="90" wrapText="1"/>
    </xf>
    <xf numFmtId="0" fontId="22" fillId="0" borderId="7" xfId="3" applyFont="1" applyBorder="1" applyAlignment="1">
      <alignment horizontal="center" textRotation="90" wrapText="1"/>
    </xf>
    <xf numFmtId="0" fontId="22" fillId="0" borderId="16" xfId="3" applyFont="1" applyBorder="1" applyAlignment="1">
      <alignment horizontal="center" textRotation="90" wrapText="1"/>
    </xf>
    <xf numFmtId="0" fontId="22" fillId="0" borderId="11" xfId="3" applyFont="1" applyBorder="1" applyAlignment="1">
      <alignment horizontal="center" vertical="center" wrapText="1"/>
    </xf>
    <xf numFmtId="0" fontId="22" fillId="0" borderId="12" xfId="3" applyFont="1" applyBorder="1" applyAlignment="1">
      <alignment horizontal="center" vertical="center" wrapText="1"/>
    </xf>
    <xf numFmtId="0" fontId="22" fillId="0" borderId="13" xfId="3" applyFont="1" applyBorder="1" applyAlignment="1">
      <alignment horizontal="center" vertical="center" wrapText="1"/>
    </xf>
    <xf numFmtId="0" fontId="19" fillId="0" borderId="0" xfId="3" applyFont="1" applyAlignment="1">
      <alignment horizontal="center" vertical="center" wrapText="1"/>
    </xf>
    <xf numFmtId="0" fontId="18" fillId="0" borderId="0" xfId="3" applyAlignment="1">
      <alignment horizontal="center" vertical="center" wrapText="1"/>
    </xf>
    <xf numFmtId="0" fontId="20" fillId="0" borderId="0" xfId="3" applyFont="1" applyAlignment="1">
      <alignment horizontal="center" vertical="center" wrapText="1"/>
    </xf>
    <xf numFmtId="0" fontId="21" fillId="0" borderId="0" xfId="3" applyFont="1" applyAlignment="1">
      <alignment horizontal="center" vertical="center" wrapText="1"/>
    </xf>
    <xf numFmtId="0" fontId="23" fillId="0" borderId="10" xfId="3" applyFont="1" applyBorder="1" applyAlignment="1">
      <alignment horizontal="center" vertical="center" wrapText="1"/>
    </xf>
    <xf numFmtId="0" fontId="23" fillId="0" borderId="14" xfId="3" applyFont="1" applyBorder="1" applyAlignment="1">
      <alignment horizontal="center" vertical="center" wrapText="1"/>
    </xf>
    <xf numFmtId="0" fontId="23" fillId="0" borderId="15" xfId="3" applyFont="1" applyBorder="1" applyAlignment="1">
      <alignment horizontal="center" vertical="center" wrapText="1"/>
    </xf>
    <xf numFmtId="0" fontId="22" fillId="0" borderId="2" xfId="3" applyFont="1" applyBorder="1" applyAlignment="1">
      <alignment horizontal="center" textRotation="90" wrapText="1"/>
    </xf>
    <xf numFmtId="0" fontId="22" fillId="0" borderId="17" xfId="3" applyFont="1" applyBorder="1" applyAlignment="1">
      <alignment horizontal="center" textRotation="90" wrapText="1"/>
    </xf>
    <xf numFmtId="0" fontId="22" fillId="0" borderId="3" xfId="3" applyFont="1" applyBorder="1" applyAlignment="1">
      <alignment horizontal="center" textRotation="90" wrapText="1"/>
    </xf>
    <xf numFmtId="0" fontId="22" fillId="0" borderId="0" xfId="3" applyFont="1" applyAlignment="1">
      <alignment horizontal="center" textRotation="90" wrapText="1"/>
    </xf>
    <xf numFmtId="0" fontId="22" fillId="0" borderId="10" xfId="3" applyFont="1" applyBorder="1" applyAlignment="1">
      <alignment horizontal="center" textRotation="90"/>
    </xf>
    <xf numFmtId="0" fontId="22" fillId="0" borderId="14" xfId="3" applyFont="1" applyBorder="1" applyAlignment="1">
      <alignment horizontal="center" textRotation="90"/>
    </xf>
    <xf numFmtId="0" fontId="22" fillId="0" borderId="15" xfId="3" applyFont="1" applyBorder="1" applyAlignment="1">
      <alignment horizontal="center" textRotation="90"/>
    </xf>
    <xf numFmtId="0" fontId="25" fillId="0" borderId="33" xfId="3" applyFont="1" applyBorder="1" applyAlignment="1">
      <alignment horizontal="center" vertical="center"/>
    </xf>
    <xf numFmtId="0" fontId="25" fillId="0" borderId="23" xfId="3" applyFont="1" applyBorder="1" applyAlignment="1">
      <alignment horizontal="center" vertical="center"/>
    </xf>
    <xf numFmtId="0" fontId="25" fillId="0" borderId="24" xfId="3" applyFont="1" applyBorder="1" applyAlignment="1">
      <alignment horizontal="center" vertical="center"/>
    </xf>
    <xf numFmtId="0" fontId="25" fillId="0" borderId="37" xfId="3" applyFont="1" applyBorder="1" applyAlignment="1">
      <alignment horizontal="center" vertical="center"/>
    </xf>
    <xf numFmtId="0" fontId="25" fillId="0" borderId="40" xfId="3" applyFont="1" applyBorder="1" applyAlignment="1">
      <alignment horizontal="center" vertical="center"/>
    </xf>
    <xf numFmtId="0" fontId="25" fillId="0" borderId="42" xfId="3" applyFont="1" applyBorder="1" applyAlignment="1">
      <alignment horizontal="center" vertical="center"/>
    </xf>
    <xf numFmtId="0" fontId="25" fillId="0" borderId="44" xfId="3" applyFont="1" applyBorder="1" applyAlignment="1">
      <alignment horizontal="center" vertical="center"/>
    </xf>
    <xf numFmtId="0" fontId="22" fillId="0" borderId="10" xfId="3" applyFont="1" applyBorder="1" applyAlignment="1">
      <alignment horizontal="center" vertical="center" textRotation="90"/>
    </xf>
    <xf numFmtId="0" fontId="22" fillId="0" borderId="14" xfId="3" applyFont="1" applyBorder="1" applyAlignment="1">
      <alignment horizontal="center" vertical="center" textRotation="90"/>
    </xf>
    <xf numFmtId="0" fontId="22" fillId="0" borderId="15" xfId="3" applyFont="1" applyBorder="1" applyAlignment="1">
      <alignment horizontal="center" vertical="center" textRotation="90"/>
    </xf>
    <xf numFmtId="0" fontId="22" fillId="0" borderId="10" xfId="3" applyFont="1" applyBorder="1" applyAlignment="1">
      <alignment horizontal="center" vertical="center" textRotation="90" wrapText="1"/>
    </xf>
    <xf numFmtId="0" fontId="22" fillId="0" borderId="14" xfId="3" applyFont="1" applyBorder="1" applyAlignment="1">
      <alignment horizontal="center" vertical="center" textRotation="90" wrapText="1"/>
    </xf>
    <xf numFmtId="0" fontId="22" fillId="0" borderId="15" xfId="3" applyFont="1" applyBorder="1" applyAlignment="1">
      <alignment horizontal="center" vertical="center" textRotation="90" wrapText="1"/>
    </xf>
    <xf numFmtId="0" fontId="25" fillId="0" borderId="1" xfId="3" applyFont="1" applyBorder="1" applyAlignment="1">
      <alignment horizontal="center" vertical="center"/>
    </xf>
    <xf numFmtId="0" fontId="25" fillId="0" borderId="7" xfId="3" applyFont="1" applyBorder="1" applyAlignment="1">
      <alignment horizontal="center" vertical="center"/>
    </xf>
    <xf numFmtId="0" fontId="25" fillId="0" borderId="16" xfId="3" applyFont="1" applyBorder="1" applyAlignment="1">
      <alignment horizontal="center" vertical="center"/>
    </xf>
    <xf numFmtId="0" fontId="24" fillId="0" borderId="10" xfId="3" applyFont="1" applyBorder="1" applyAlignment="1">
      <alignment horizontal="center" vertical="center" textRotation="90"/>
    </xf>
    <xf numFmtId="0" fontId="24" fillId="0" borderId="14" xfId="3" applyFont="1" applyBorder="1" applyAlignment="1">
      <alignment horizontal="center" vertical="center" textRotation="90"/>
    </xf>
    <xf numFmtId="0" fontId="24" fillId="0" borderId="15" xfId="3" applyFont="1" applyBorder="1" applyAlignment="1">
      <alignment horizontal="center" vertical="center" textRotation="90"/>
    </xf>
    <xf numFmtId="0" fontId="25" fillId="0" borderId="10" xfId="3" applyFont="1" applyBorder="1" applyAlignment="1">
      <alignment horizontal="center" vertical="center"/>
    </xf>
    <xf numFmtId="0" fontId="25" fillId="0" borderId="14" xfId="3" applyFont="1" applyBorder="1" applyAlignment="1">
      <alignment horizontal="center" vertical="center"/>
    </xf>
    <xf numFmtId="0" fontId="18" fillId="0" borderId="14" xfId="3" applyBorder="1" applyAlignment="1">
      <alignment horizontal="center" vertical="center"/>
    </xf>
    <xf numFmtId="0" fontId="25" fillId="0" borderId="20" xfId="3" applyFont="1" applyBorder="1" applyAlignment="1">
      <alignment horizontal="center" vertical="center"/>
    </xf>
    <xf numFmtId="0" fontId="25" fillId="0" borderId="1" xfId="3" applyFont="1" applyBorder="1" applyAlignment="1">
      <alignment horizontal="center"/>
    </xf>
    <xf numFmtId="0" fontId="25" fillId="0" borderId="7" xfId="3" applyFont="1" applyBorder="1" applyAlignment="1">
      <alignment horizontal="center"/>
    </xf>
    <xf numFmtId="0" fontId="22" fillId="0" borderId="10" xfId="3" applyFont="1" applyBorder="1" applyAlignment="1">
      <alignment horizontal="center" vertical="center" wrapText="1"/>
    </xf>
    <xf numFmtId="0" fontId="22" fillId="0" borderId="14" xfId="3" applyFont="1" applyBorder="1" applyAlignment="1">
      <alignment horizontal="center" vertical="center" wrapText="1"/>
    </xf>
    <xf numFmtId="0" fontId="22" fillId="0" borderId="15" xfId="3" applyFont="1" applyBorder="1" applyAlignment="1">
      <alignment horizontal="center" vertical="center" wrapText="1"/>
    </xf>
    <xf numFmtId="0" fontId="25" fillId="0" borderId="16" xfId="3" applyFont="1" applyBorder="1" applyAlignment="1">
      <alignment horizontal="center"/>
    </xf>
    <xf numFmtId="0" fontId="23" fillId="0" borderId="10" xfId="3" applyFont="1" applyBorder="1" applyAlignment="1">
      <alignment horizontal="center" vertical="center"/>
    </xf>
    <xf numFmtId="0" fontId="23" fillId="0" borderId="14" xfId="3" applyFont="1" applyBorder="1" applyAlignment="1">
      <alignment horizontal="center" vertical="center"/>
    </xf>
    <xf numFmtId="0" fontId="23" fillId="0" borderId="15" xfId="3" applyFont="1" applyBorder="1" applyAlignment="1">
      <alignment horizontal="center" vertical="center"/>
    </xf>
    <xf numFmtId="0" fontId="25" fillId="0" borderId="34" xfId="3" applyFont="1" applyBorder="1" applyAlignment="1">
      <alignment horizontal="center" vertical="center"/>
    </xf>
    <xf numFmtId="0" fontId="25" fillId="0" borderId="28" xfId="3" applyFont="1" applyBorder="1" applyAlignment="1">
      <alignment horizontal="center" vertical="center"/>
    </xf>
    <xf numFmtId="0" fontId="22" fillId="0" borderId="10" xfId="3" applyFont="1" applyBorder="1" applyAlignment="1">
      <alignment horizontal="center" vertical="center"/>
    </xf>
    <xf numFmtId="0" fontId="22" fillId="0" borderId="14" xfId="3" applyFont="1" applyBorder="1" applyAlignment="1">
      <alignment horizontal="center" vertical="center"/>
    </xf>
    <xf numFmtId="0" fontId="22" fillId="0" borderId="15" xfId="3" applyFont="1" applyBorder="1" applyAlignment="1">
      <alignment horizontal="center" vertical="center"/>
    </xf>
    <xf numFmtId="0" fontId="22" fillId="0" borderId="48" xfId="3" applyFont="1" applyBorder="1" applyAlignment="1">
      <alignment horizontal="center" vertical="center" wrapText="1"/>
    </xf>
    <xf numFmtId="0" fontId="22" fillId="0" borderId="50" xfId="3" applyFont="1" applyBorder="1" applyAlignment="1">
      <alignment horizontal="center" vertical="center" wrapText="1"/>
    </xf>
    <xf numFmtId="0" fontId="22" fillId="0" borderId="51" xfId="3" applyFont="1" applyBorder="1" applyAlignment="1">
      <alignment horizontal="center" vertical="center" wrapText="1"/>
    </xf>
    <xf numFmtId="0" fontId="22" fillId="0" borderId="56" xfId="3" applyFont="1" applyBorder="1" applyAlignment="1">
      <alignment horizontal="center" vertical="center" wrapText="1"/>
    </xf>
    <xf numFmtId="0" fontId="22" fillId="0" borderId="57" xfId="3" applyFont="1" applyBorder="1" applyAlignment="1">
      <alignment horizontal="center" vertical="center" wrapText="1"/>
    </xf>
    <xf numFmtId="0" fontId="22" fillId="0" borderId="58" xfId="3" applyFont="1" applyBorder="1" applyAlignment="1">
      <alignment horizontal="center" vertical="center" wrapText="1"/>
    </xf>
    <xf numFmtId="0" fontId="22" fillId="0" borderId="59" xfId="3" applyFont="1" applyBorder="1" applyAlignment="1">
      <alignment horizontal="center" vertical="center" wrapText="1"/>
    </xf>
    <xf numFmtId="0" fontId="22" fillId="0" borderId="7" xfId="3" applyFont="1" applyBorder="1" applyAlignment="1">
      <alignment horizontal="center" vertical="center" wrapText="1"/>
    </xf>
    <xf numFmtId="0" fontId="22" fillId="0" borderId="16" xfId="3" applyFont="1" applyBorder="1" applyAlignment="1">
      <alignment horizontal="center" vertical="center" wrapText="1"/>
    </xf>
    <xf numFmtId="0" fontId="22" fillId="0" borderId="1" xfId="3" applyFont="1" applyBorder="1" applyAlignment="1">
      <alignment horizontal="center" vertical="center" wrapText="1"/>
    </xf>
    <xf numFmtId="0" fontId="25" fillId="0" borderId="15" xfId="3" applyFont="1" applyBorder="1" applyAlignment="1">
      <alignment horizontal="center" vertical="center"/>
    </xf>
    <xf numFmtId="0" fontId="22" fillId="0" borderId="3" xfId="3" applyFont="1" applyBorder="1" applyAlignment="1">
      <alignment horizontal="center" vertical="center" textRotation="90"/>
    </xf>
    <xf numFmtId="0" fontId="22" fillId="0" borderId="8" xfId="3" applyFont="1" applyBorder="1" applyAlignment="1">
      <alignment horizontal="center" vertical="center" textRotation="90"/>
    </xf>
    <xf numFmtId="0" fontId="22" fillId="0" borderId="47" xfId="3" applyFont="1" applyBorder="1" applyAlignment="1">
      <alignment horizontal="center" vertical="center" textRotation="90"/>
    </xf>
    <xf numFmtId="0" fontId="23" fillId="0" borderId="7" xfId="3" applyFont="1" applyBorder="1" applyAlignment="1">
      <alignment horizontal="center" vertical="center"/>
    </xf>
    <xf numFmtId="0" fontId="25" fillId="0" borderId="10" xfId="3" applyFont="1" applyBorder="1" applyAlignment="1">
      <alignment horizontal="center" vertical="center" textRotation="90"/>
    </xf>
    <xf numFmtId="0" fontId="25" fillId="0" borderId="14" xfId="3" applyFont="1" applyBorder="1" applyAlignment="1">
      <alignment horizontal="center" vertical="center" textRotation="90"/>
    </xf>
    <xf numFmtId="0" fontId="25" fillId="0" borderId="15" xfId="3" applyFont="1" applyBorder="1" applyAlignment="1">
      <alignment horizontal="center" vertical="center" textRotation="90"/>
    </xf>
    <xf numFmtId="0" fontId="25" fillId="0" borderId="3" xfId="3" applyFont="1" applyBorder="1" applyAlignment="1">
      <alignment horizontal="center" vertical="center"/>
    </xf>
    <xf numFmtId="0" fontId="25" fillId="0" borderId="8" xfId="3" applyFont="1" applyBorder="1" applyAlignment="1">
      <alignment horizontal="center" vertical="center"/>
    </xf>
    <xf numFmtId="0" fontId="25" fillId="0" borderId="47" xfId="3" applyFont="1" applyBorder="1" applyAlignment="1">
      <alignment horizontal="center" vertical="center"/>
    </xf>
    <xf numFmtId="0" fontId="20" fillId="0" borderId="48" xfId="3" applyFont="1" applyBorder="1" applyAlignment="1">
      <alignment horizontal="center" vertical="center" wrapText="1"/>
    </xf>
    <xf numFmtId="0" fontId="20" fillId="0" borderId="50" xfId="3" applyFont="1" applyBorder="1" applyAlignment="1">
      <alignment horizontal="center" vertical="center" wrapText="1"/>
    </xf>
    <xf numFmtId="0" fontId="20" fillId="0" borderId="51" xfId="3" applyFont="1" applyBorder="1" applyAlignment="1">
      <alignment horizontal="center" vertical="center" wrapText="1"/>
    </xf>
    <xf numFmtId="0" fontId="25" fillId="0" borderId="10" xfId="3" applyFont="1" applyBorder="1" applyAlignment="1">
      <alignment horizontal="center"/>
    </xf>
    <xf numFmtId="0" fontId="25" fillId="0" borderId="14" xfId="3" applyFont="1" applyBorder="1" applyAlignment="1">
      <alignment horizontal="center"/>
    </xf>
    <xf numFmtId="0" fontId="25" fillId="0" borderId="15" xfId="3" applyFont="1" applyBorder="1" applyAlignment="1">
      <alignment horizontal="center"/>
    </xf>
    <xf numFmtId="0" fontId="33" fillId="0" borderId="10" xfId="3" applyFont="1" applyBorder="1" applyAlignment="1">
      <alignment horizontal="center" vertical="center" wrapText="1"/>
    </xf>
    <xf numFmtId="0" fontId="33" fillId="0" borderId="14" xfId="3" applyFont="1" applyBorder="1" applyAlignment="1">
      <alignment horizontal="center" vertical="center" wrapText="1"/>
    </xf>
    <xf numFmtId="0" fontId="33" fillId="0" borderId="15" xfId="3" applyFont="1" applyBorder="1" applyAlignment="1">
      <alignment horizontal="center" vertical="center" wrapText="1"/>
    </xf>
    <xf numFmtId="0" fontId="25" fillId="0" borderId="48" xfId="3" applyFont="1" applyBorder="1" applyAlignment="1">
      <alignment horizontal="center" vertical="center"/>
    </xf>
    <xf numFmtId="0" fontId="25" fillId="0" borderId="51" xfId="3" applyFont="1" applyBorder="1" applyAlignment="1">
      <alignment horizontal="center" vertical="center"/>
    </xf>
    <xf numFmtId="0" fontId="25" fillId="0" borderId="65" xfId="3" applyFont="1" applyBorder="1" applyAlignment="1">
      <alignment horizontal="center" vertical="center"/>
    </xf>
  </cellXfs>
  <cellStyles count="5">
    <cellStyle name="Hyperlink" xfId="1" builtinId="8" customBuiltin="1"/>
    <cellStyle name="Normal" xfId="0" builtinId="0" customBuiltin="1"/>
    <cellStyle name="Normal 2" xfId="2" xr:uid="{35E9683D-8236-4D75-9C25-1004EA47D08C}"/>
    <cellStyle name="Normal 3" xfId="3" xr:uid="{19D4653A-5FAD-4678-AFAD-258E3C77CE2E}"/>
    <cellStyle name="Обычный 3" xfId="4" xr:uid="{291D528B-C600-4D16-A5FA-D57FD1D74B38}"/>
  </cellStyles>
  <dxfs count="12">
    <dxf>
      <font>
        <color theme="0"/>
      </font>
      <fill>
        <patternFill>
          <bgColor rgb="FF71717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E9F3E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darkHorizontal">
          <bgColor rgb="FFE6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  <fill>
        <patternFill>
          <bgColor rgb="FFDFDA0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darkHorizontal">
          <bgColor rgb="FFDE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 patternType="lightHorizontal">
          <bgColor rgb="FFC8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BCCF07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1"/>
      </font>
      <fill>
        <patternFill>
          <bgColor rgb="FFC8BA00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  <vertical/>
        <horizontal/>
      </border>
    </dxf>
    <dxf>
      <font>
        <color theme="0"/>
      </font>
      <fill>
        <patternFill>
          <bgColor rgb="FF823F8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E7E9E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E6D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E3D90F"/>
      <color rgb="FFE9F3EB"/>
      <color rgb="FFDEF2E1"/>
      <color rgb="FF717171"/>
      <color rgb="FFDFDA03"/>
      <color rgb="FFCFCA03"/>
      <color rgb="FFDBD603"/>
      <color rgb="FFE3DE03"/>
      <color rgb="FFEBE503"/>
      <color rgb="FFF1EB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22" noThreeD="1" sel="0" val="0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noThreeD="1" sel="0" val="0"/>
</file>

<file path=xl/ctrlProps/ctrlProp4.xml><?xml version="1.0" encoding="utf-8"?>
<formControlPr xmlns="http://schemas.microsoft.com/office/spreadsheetml/2009/9/main" objectType="Drop" dropStyle="combo" dx="22" noThreeD="1" sel="0" val="0"/>
</file>

<file path=xl/ctrlProps/ctrlProp5.xml><?xml version="1.0" encoding="utf-8"?>
<formControlPr xmlns="http://schemas.microsoft.com/office/spreadsheetml/2009/9/main" objectType="Drop" dropStyle="combo" dx="22" noThreeD="1" sel="0" val="0"/>
</file>

<file path=xl/ctrlProps/ctrlProp6.xml><?xml version="1.0" encoding="utf-8"?>
<formControlPr xmlns="http://schemas.microsoft.com/office/spreadsheetml/2009/9/main" objectType="Drop" dropStyle="combo" dx="22" noThreeD="1" sel="0" val="0"/>
</file>

<file path=xl/ctrlProps/ctrlProp7.xml><?xml version="1.0" encoding="utf-8"?>
<formControlPr xmlns="http://schemas.microsoft.com/office/spreadsheetml/2009/9/main" objectType="Drop" dropStyle="combo" dx="22" noThreeD="1" sel="0" val="0"/>
</file>

<file path=xl/ctrlProps/ctrlProp8.xml><?xml version="1.0" encoding="utf-8"?>
<formControlPr xmlns="http://schemas.microsoft.com/office/spreadsheetml/2009/9/main" objectType="Drop" dropStyle="combo" dx="22" noThreeD="1" sel="0" val="0"/>
</file>

<file path=xl/ctrlProps/ctrlProp9.xml><?xml version="1.0" encoding="utf-8"?>
<formControlPr xmlns="http://schemas.microsoft.com/office/spreadsheetml/2009/9/main" objectType="Drop" dropStyle="combo" dx="22" noThreeD="1" sel="0" val="0"/>
</file>

<file path=xl/ctrlProps/ctrlProp10.xml><?xml version="1.0" encoding="utf-8"?>
<formControlPr xmlns="http://schemas.microsoft.com/office/spreadsheetml/2009/9/main" objectType="Drop" dropStyle="combo" dx="22" noThreeD="1" sel="0" val="0"/>
</file>

<file path=xl/ctrlProps/ctrlProp11.xml><?xml version="1.0" encoding="utf-8"?>
<formControlPr xmlns="http://schemas.microsoft.com/office/spreadsheetml/2009/9/main" objectType="Drop" dropStyle="combo" dx="22" noThreeD="1" sel="0" val="0"/>
</file>

<file path=xl/ctrlProps/ctrlProp12.xml><?xml version="1.0" encoding="utf-8"?>
<formControlPr xmlns="http://schemas.microsoft.com/office/spreadsheetml/2009/9/main" objectType="Drop" dropStyle="combo" dx="22" noThreeD="1" sel="0" val="0"/>
</file>

<file path=xl/ctrlProps/ctrlProp13.xml><?xml version="1.0" encoding="utf-8"?>
<formControlPr xmlns="http://schemas.microsoft.com/office/spreadsheetml/2009/9/main" objectType="Drop" dropStyle="combo" dx="22" noThreeD="1" sel="0" val="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7.emf"/><Relationship Id="rId18" Type="http://schemas.openxmlformats.org/officeDocument/2006/relationships/image" Target="../media/image1.emf"/><Relationship Id="rId3" Type="http://schemas.openxmlformats.org/officeDocument/2006/relationships/image" Target="../media/image12.emf"/><Relationship Id="rId21" Type="http://schemas.openxmlformats.org/officeDocument/2006/relationships/image" Target="../media/image4.emf"/><Relationship Id="rId7" Type="http://schemas.openxmlformats.org/officeDocument/2006/relationships/image" Target="../media/image16.emf"/><Relationship Id="rId12" Type="http://schemas.openxmlformats.org/officeDocument/2006/relationships/image" Target="../media/image8.emf"/><Relationship Id="rId17" Type="http://schemas.openxmlformats.org/officeDocument/2006/relationships/image" Target="../media/image21.emf"/><Relationship Id="rId2" Type="http://schemas.openxmlformats.org/officeDocument/2006/relationships/image" Target="../media/image11.emf"/><Relationship Id="rId16" Type="http://schemas.openxmlformats.org/officeDocument/2006/relationships/image" Target="../media/image5.emf"/><Relationship Id="rId20" Type="http://schemas.openxmlformats.org/officeDocument/2006/relationships/image" Target="../media/image23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11" Type="http://schemas.openxmlformats.org/officeDocument/2006/relationships/image" Target="../media/image9.emf"/><Relationship Id="rId5" Type="http://schemas.openxmlformats.org/officeDocument/2006/relationships/image" Target="../media/image14.emf"/><Relationship Id="rId15" Type="http://schemas.openxmlformats.org/officeDocument/2006/relationships/image" Target="../media/image6.emf"/><Relationship Id="rId23" Type="http://schemas.openxmlformats.org/officeDocument/2006/relationships/image" Target="../media/image2.emf"/><Relationship Id="rId10" Type="http://schemas.openxmlformats.org/officeDocument/2006/relationships/image" Target="../media/image19.emf"/><Relationship Id="rId19" Type="http://schemas.openxmlformats.org/officeDocument/2006/relationships/image" Target="../media/image22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Relationship Id="rId14" Type="http://schemas.openxmlformats.org/officeDocument/2006/relationships/image" Target="../media/image20.emf"/><Relationship Id="rId22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044" name="Form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45" name="Form4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0</xdr:rowOff>
        </xdr:to>
        <xdr:sp macro="" textlink="">
          <xdr:nvSpPr>
            <xdr:cNvPr id="1047" name="Form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48" name="Form8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49" name="Form9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50" name="Form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14</xdr:col>
          <xdr:colOff>0</xdr:colOff>
          <xdr:row>3</xdr:row>
          <xdr:rowOff>419100</xdr:rowOff>
        </xdr:to>
        <xdr:sp macro="" textlink="">
          <xdr:nvSpPr>
            <xdr:cNvPr id="1052" name="Inregistrati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54" name="Form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56" name="Form7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057" name="Form1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61" name="Form10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63" name="Form3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75" name="Form6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2" name="Combo Box 2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3" name="Combo Box 2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4" name="Combo Box 2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5" name="Combo Box 2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6" name="Combo Box 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7" name="Combo Box 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8" name="Combo Box 2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9" name="Combo Box 2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0" name="Combo Box 2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1" name="Combo Box 2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2" name="Combo Box 2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3" name="Combo Box 2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4" name="Combo Box 2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268" name="Executa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688" name="Formateaza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8238" name="Instructiune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0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8599" name="myCombo6" hidden="1">
              <a:extLst>
                <a:ext uri="{63B3BB69-23CF-44E3-9099-C40C66FF867C}">
                  <a14:compatExt spid="_x0000_s8599"/>
                </a:ext>
                <a:ext uri="{FF2B5EF4-FFF2-40B4-BE49-F238E27FC236}">
                  <a16:creationId xmlns:a16="http://schemas.microsoft.com/office/drawing/2014/main" id="{00000000-0008-0000-0000-00009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5</xdr:row>
          <xdr:rowOff>19050</xdr:rowOff>
        </xdr:from>
        <xdr:to>
          <xdr:col>13</xdr:col>
          <xdr:colOff>1485900</xdr:colOff>
          <xdr:row>5</xdr:row>
          <xdr:rowOff>342900</xdr:rowOff>
        </xdr:to>
        <xdr:sp macro="" textlink="">
          <xdr:nvSpPr>
            <xdr:cNvPr id="8600" name="myCheck6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0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601" name="myCombo7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0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6</xdr:row>
          <xdr:rowOff>19050</xdr:rowOff>
        </xdr:from>
        <xdr:to>
          <xdr:col>13</xdr:col>
          <xdr:colOff>1485900</xdr:colOff>
          <xdr:row>6</xdr:row>
          <xdr:rowOff>342900</xdr:rowOff>
        </xdr:to>
        <xdr:sp macro="" textlink="">
          <xdr:nvSpPr>
            <xdr:cNvPr id="8602" name="myCheck7" hidden="1">
              <a:extLst>
                <a:ext uri="{63B3BB69-23CF-44E3-9099-C40C66FF867C}">
                  <a14:compatExt spid="_x0000_s8602"/>
                </a:ext>
                <a:ext uri="{FF2B5EF4-FFF2-40B4-BE49-F238E27FC236}">
                  <a16:creationId xmlns:a16="http://schemas.microsoft.com/office/drawing/2014/main" id="{00000000-0008-0000-0000-00009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8603" name="myCombo8" hidden="1">
              <a:extLst>
                <a:ext uri="{63B3BB69-23CF-44E3-9099-C40C66FF867C}">
                  <a14:compatExt spid="_x0000_s8603"/>
                </a:ext>
                <a:ext uri="{FF2B5EF4-FFF2-40B4-BE49-F238E27FC236}">
                  <a16:creationId xmlns:a16="http://schemas.microsoft.com/office/drawing/2014/main" id="{00000000-0008-0000-0000-00009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7</xdr:row>
          <xdr:rowOff>19050</xdr:rowOff>
        </xdr:from>
        <xdr:to>
          <xdr:col>13</xdr:col>
          <xdr:colOff>1485900</xdr:colOff>
          <xdr:row>7</xdr:row>
          <xdr:rowOff>342900</xdr:rowOff>
        </xdr:to>
        <xdr:sp macro="" textlink="">
          <xdr:nvSpPr>
            <xdr:cNvPr id="8604" name="myCheck8" hidden="1">
              <a:extLst>
                <a:ext uri="{63B3BB69-23CF-44E3-9099-C40C66FF867C}">
                  <a14:compatExt spid="_x0000_s8604"/>
                </a:ext>
                <a:ext uri="{FF2B5EF4-FFF2-40B4-BE49-F238E27FC236}">
                  <a16:creationId xmlns:a16="http://schemas.microsoft.com/office/drawing/2014/main" id="{00000000-0008-0000-0000-00009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8605" name="myCombo9" hidden="1">
              <a:extLst>
                <a:ext uri="{63B3BB69-23CF-44E3-9099-C40C66FF867C}">
                  <a14:compatExt spid="_x0000_s8605"/>
                </a:ext>
                <a:ext uri="{FF2B5EF4-FFF2-40B4-BE49-F238E27FC236}">
                  <a16:creationId xmlns:a16="http://schemas.microsoft.com/office/drawing/2014/main" id="{D189E24B-16B6-4B72-A1CE-7452AC4E9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8</xdr:row>
          <xdr:rowOff>19050</xdr:rowOff>
        </xdr:from>
        <xdr:to>
          <xdr:col>13</xdr:col>
          <xdr:colOff>1485900</xdr:colOff>
          <xdr:row>8</xdr:row>
          <xdr:rowOff>342900</xdr:rowOff>
        </xdr:to>
        <xdr:sp macro="" textlink="">
          <xdr:nvSpPr>
            <xdr:cNvPr id="8606" name="myCheck9" hidden="1">
              <a:extLst>
                <a:ext uri="{63B3BB69-23CF-44E3-9099-C40C66FF867C}">
                  <a14:compatExt spid="_x0000_s8606"/>
                </a:ext>
                <a:ext uri="{FF2B5EF4-FFF2-40B4-BE49-F238E27FC236}">
                  <a16:creationId xmlns:a16="http://schemas.microsoft.com/office/drawing/2014/main" id="{2B052836-368F-4349-8DB4-0426A737B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8607" name="myCombo10" hidden="1">
              <a:extLst>
                <a:ext uri="{63B3BB69-23CF-44E3-9099-C40C66FF867C}">
                  <a14:compatExt spid="_x0000_s8607"/>
                </a:ext>
                <a:ext uri="{FF2B5EF4-FFF2-40B4-BE49-F238E27FC236}">
                  <a16:creationId xmlns:a16="http://schemas.microsoft.com/office/drawing/2014/main" id="{B73DF571-4E4F-421A-AE68-3978863EB2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9</xdr:row>
          <xdr:rowOff>19050</xdr:rowOff>
        </xdr:from>
        <xdr:to>
          <xdr:col>13</xdr:col>
          <xdr:colOff>1485900</xdr:colOff>
          <xdr:row>9</xdr:row>
          <xdr:rowOff>342900</xdr:rowOff>
        </xdr:to>
        <xdr:sp macro="" textlink="">
          <xdr:nvSpPr>
            <xdr:cNvPr id="8608" name="myCheck10" hidden="1">
              <a:extLst>
                <a:ext uri="{63B3BB69-23CF-44E3-9099-C40C66FF867C}">
                  <a14:compatExt spid="_x0000_s8608"/>
                </a:ext>
                <a:ext uri="{FF2B5EF4-FFF2-40B4-BE49-F238E27FC236}">
                  <a16:creationId xmlns:a16="http://schemas.microsoft.com/office/drawing/2014/main" id="{6D57A6BE-6176-473D-ACD0-CB6DF2F87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8609" name="myCombo11" hidden="1">
              <a:extLst>
                <a:ext uri="{63B3BB69-23CF-44E3-9099-C40C66FF867C}">
                  <a14:compatExt spid="_x0000_s8609"/>
                </a:ext>
                <a:ext uri="{FF2B5EF4-FFF2-40B4-BE49-F238E27FC236}">
                  <a16:creationId xmlns:a16="http://schemas.microsoft.com/office/drawing/2014/main" id="{1887CD7D-6B68-4608-9875-5BEE3252BC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10</xdr:row>
          <xdr:rowOff>19050</xdr:rowOff>
        </xdr:from>
        <xdr:to>
          <xdr:col>13</xdr:col>
          <xdr:colOff>1485900</xdr:colOff>
          <xdr:row>10</xdr:row>
          <xdr:rowOff>342900</xdr:rowOff>
        </xdr:to>
        <xdr:sp macro="" textlink="">
          <xdr:nvSpPr>
            <xdr:cNvPr id="8610" name="myCheck11" hidden="1">
              <a:extLst>
                <a:ext uri="{63B3BB69-23CF-44E3-9099-C40C66FF867C}">
                  <a14:compatExt spid="_x0000_s8610"/>
                </a:ext>
                <a:ext uri="{FF2B5EF4-FFF2-40B4-BE49-F238E27FC236}">
                  <a16:creationId xmlns:a16="http://schemas.microsoft.com/office/drawing/2014/main" id="{E5F589F4-714A-4479-8BCB-DE8BF9E03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3.xml"/><Relationship Id="rId21" Type="http://schemas.openxmlformats.org/officeDocument/2006/relationships/image" Target="../media/image8.emf"/><Relationship Id="rId34" Type="http://schemas.openxmlformats.org/officeDocument/2006/relationships/control" Target="../activeX/activeX17.xml"/><Relationship Id="rId42" Type="http://schemas.openxmlformats.org/officeDocument/2006/relationships/control" Target="../activeX/activeX21.xml"/><Relationship Id="rId47" Type="http://schemas.openxmlformats.org/officeDocument/2006/relationships/image" Target="../media/image21.emf"/><Relationship Id="rId50" Type="http://schemas.openxmlformats.org/officeDocument/2006/relationships/image" Target="../media/image22.emf"/><Relationship Id="rId55" Type="http://schemas.openxmlformats.org/officeDocument/2006/relationships/ctrlProp" Target="../ctrlProps/ctrlProp1.xml"/><Relationship Id="rId63" Type="http://schemas.openxmlformats.org/officeDocument/2006/relationships/ctrlProp" Target="../ctrlProps/ctrlProp9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9" Type="http://schemas.openxmlformats.org/officeDocument/2006/relationships/image" Target="../media/image12.emf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image" Target="../media/image16.emf"/><Relationship Id="rId40" Type="http://schemas.openxmlformats.org/officeDocument/2006/relationships/control" Target="../activeX/activeX20.xml"/><Relationship Id="rId45" Type="http://schemas.openxmlformats.org/officeDocument/2006/relationships/image" Target="../media/image20.emf"/><Relationship Id="rId53" Type="http://schemas.openxmlformats.org/officeDocument/2006/relationships/image" Target="../media/image23.emf"/><Relationship Id="rId58" Type="http://schemas.openxmlformats.org/officeDocument/2006/relationships/ctrlProp" Target="../ctrlProps/ctrlProp4.xml"/><Relationship Id="rId66" Type="http://schemas.openxmlformats.org/officeDocument/2006/relationships/ctrlProp" Target="../ctrlProps/ctrlProp12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7.xml"/><Relationship Id="rId19" Type="http://schemas.openxmlformats.org/officeDocument/2006/relationships/image" Target="../media/image7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1.emf"/><Relationship Id="rId30" Type="http://schemas.openxmlformats.org/officeDocument/2006/relationships/control" Target="../activeX/activeX15.xml"/><Relationship Id="rId35" Type="http://schemas.openxmlformats.org/officeDocument/2006/relationships/image" Target="../media/image15.emf"/><Relationship Id="rId43" Type="http://schemas.openxmlformats.org/officeDocument/2006/relationships/image" Target="../media/image19.emf"/><Relationship Id="rId48" Type="http://schemas.openxmlformats.org/officeDocument/2006/relationships/control" Target="../activeX/activeX24.xml"/><Relationship Id="rId56" Type="http://schemas.openxmlformats.org/officeDocument/2006/relationships/ctrlProp" Target="../ctrlProps/ctrlProp2.xml"/><Relationship Id="rId64" Type="http://schemas.openxmlformats.org/officeDocument/2006/relationships/ctrlProp" Target="../ctrlProps/ctrlProp1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6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6.xml"/><Relationship Id="rId17" Type="http://schemas.openxmlformats.org/officeDocument/2006/relationships/image" Target="../media/image6.emf"/><Relationship Id="rId25" Type="http://schemas.openxmlformats.org/officeDocument/2006/relationships/image" Target="../media/image10.emf"/><Relationship Id="rId33" Type="http://schemas.openxmlformats.org/officeDocument/2006/relationships/image" Target="../media/image14.emf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3.xml"/><Relationship Id="rId59" Type="http://schemas.openxmlformats.org/officeDocument/2006/relationships/ctrlProp" Target="../ctrlProps/ctrlProp5.xml"/><Relationship Id="rId67" Type="http://schemas.openxmlformats.org/officeDocument/2006/relationships/ctrlProp" Target="../ctrlProps/ctrlProp13.xml"/><Relationship Id="rId20" Type="http://schemas.openxmlformats.org/officeDocument/2006/relationships/control" Target="../activeX/activeX10.xml"/><Relationship Id="rId41" Type="http://schemas.openxmlformats.org/officeDocument/2006/relationships/image" Target="../media/image18.emf"/><Relationship Id="rId54" Type="http://schemas.openxmlformats.org/officeDocument/2006/relationships/control" Target="../activeX/activeX28.xml"/><Relationship Id="rId62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49" Type="http://schemas.openxmlformats.org/officeDocument/2006/relationships/control" Target="../activeX/activeX25.xml"/><Relationship Id="rId57" Type="http://schemas.openxmlformats.org/officeDocument/2006/relationships/ctrlProp" Target="../ctrlProps/ctrlProp3.xml"/><Relationship Id="rId10" Type="http://schemas.openxmlformats.org/officeDocument/2006/relationships/image" Target="../media/image3.emf"/><Relationship Id="rId31" Type="http://schemas.openxmlformats.org/officeDocument/2006/relationships/image" Target="../media/image13.emf"/><Relationship Id="rId44" Type="http://schemas.openxmlformats.org/officeDocument/2006/relationships/control" Target="../activeX/activeX22.xml"/><Relationship Id="rId52" Type="http://schemas.openxmlformats.org/officeDocument/2006/relationships/control" Target="../activeX/activeX27.xml"/><Relationship Id="rId60" Type="http://schemas.openxmlformats.org/officeDocument/2006/relationships/ctrlProp" Target="../ctrlProps/ctrlProp6.xml"/><Relationship Id="rId65" Type="http://schemas.openxmlformats.org/officeDocument/2006/relationships/ctrlProp" Target="../ctrlProps/ctrlProp1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image" Target="../media/image4.emf"/><Relationship Id="rId18" Type="http://schemas.openxmlformats.org/officeDocument/2006/relationships/control" Target="../activeX/activeX9.xml"/><Relationship Id="rId39" Type="http://schemas.openxmlformats.org/officeDocument/2006/relationships/image" Target="../media/image1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3F8DF-1597-4A71-84D3-1D1F10585706}">
  <sheetPr codeName="Sheet1"/>
  <dimension ref="A1:P43"/>
  <sheetViews>
    <sheetView tabSelected="1" zoomScale="85" zoomScaleNormal="85" workbookViewId="0">
      <pane ySplit="4" topLeftCell="A5" activePane="bottomLeft" state="frozen"/>
      <selection pane="bottomLeft" activeCell="E9" sqref="E9"/>
    </sheetView>
  </sheetViews>
  <sheetFormatPr defaultRowHeight="23.25" x14ac:dyDescent="0.25"/>
  <cols>
    <col min="1" max="1" width="10.85546875" style="21" customWidth="1"/>
    <col min="2" max="2" width="9.5703125" style="21" customWidth="1"/>
    <col min="3" max="3" width="8.7109375" style="21" customWidth="1"/>
    <col min="4" max="4" width="17.28515625" style="22" customWidth="1"/>
    <col min="5" max="5" width="21.28515625" style="22" customWidth="1"/>
    <col min="6" max="6" width="27" style="22" customWidth="1"/>
    <col min="7" max="7" width="9.140625" style="21"/>
    <col min="8" max="8" width="32.7109375" style="23" customWidth="1"/>
    <col min="9" max="9" width="25.85546875" style="22" customWidth="1"/>
    <col min="10" max="10" width="34.140625" style="24" customWidth="1"/>
    <col min="11" max="11" width="23.42578125" style="22" bestFit="1" customWidth="1"/>
    <col min="12" max="12" width="17.5703125" style="22" customWidth="1"/>
    <col min="13" max="13" width="25" style="36" customWidth="1"/>
    <col min="14" max="14" width="24.85546875" style="36" customWidth="1"/>
    <col min="15" max="15" width="40" style="25" customWidth="1"/>
    <col min="16" max="16" width="8.140625" style="26" customWidth="1"/>
    <col min="17" max="16384" width="9.140625" style="26"/>
  </cols>
  <sheetData>
    <row r="1" spans="1:16" s="15" customFormat="1" ht="15" customHeight="1" x14ac:dyDescent="0.25">
      <c r="A1" s="697" t="s">
        <v>34</v>
      </c>
      <c r="B1" s="698"/>
      <c r="C1" s="698"/>
      <c r="D1" s="698"/>
      <c r="E1" s="698"/>
      <c r="F1" s="698"/>
      <c r="G1" s="698"/>
      <c r="H1" s="698"/>
      <c r="I1" s="698"/>
      <c r="J1" s="698"/>
      <c r="K1" s="698"/>
      <c r="L1" s="699"/>
      <c r="M1" s="33"/>
      <c r="N1" s="33"/>
      <c r="O1" s="13"/>
      <c r="P1" s="14"/>
    </row>
    <row r="2" spans="1:16" s="16" customFormat="1" ht="20.25" customHeight="1" thickBot="1" x14ac:dyDescent="0.3">
      <c r="A2" s="700"/>
      <c r="B2" s="701"/>
      <c r="C2" s="701"/>
      <c r="D2" s="701"/>
      <c r="E2" s="701"/>
      <c r="F2" s="701"/>
      <c r="G2" s="701"/>
      <c r="H2" s="701"/>
      <c r="I2" s="701"/>
      <c r="J2" s="701"/>
      <c r="K2" s="701"/>
      <c r="L2" s="702"/>
      <c r="M2" s="33"/>
      <c r="N2" s="33"/>
      <c r="O2" s="13"/>
      <c r="P2" s="14"/>
    </row>
    <row r="3" spans="1:16" s="15" customFormat="1" ht="62.25" customHeight="1" thickBot="1" x14ac:dyDescent="0.3">
      <c r="A3" s="39" t="s">
        <v>23</v>
      </c>
      <c r="B3" s="40" t="s">
        <v>1</v>
      </c>
      <c r="C3" s="19" t="s">
        <v>0</v>
      </c>
      <c r="D3" s="17" t="s">
        <v>2</v>
      </c>
      <c r="E3" s="18" t="s">
        <v>3</v>
      </c>
      <c r="F3" s="18" t="s">
        <v>37</v>
      </c>
      <c r="G3" s="19" t="s">
        <v>7</v>
      </c>
      <c r="H3" s="17" t="s">
        <v>13</v>
      </c>
      <c r="I3" s="18" t="s">
        <v>4</v>
      </c>
      <c r="J3" s="18" t="s">
        <v>5</v>
      </c>
      <c r="K3" s="18" t="s">
        <v>6</v>
      </c>
      <c r="L3" s="20" t="s">
        <v>1335</v>
      </c>
      <c r="M3" s="34"/>
      <c r="N3" s="34"/>
      <c r="O3" s="13"/>
      <c r="P3" s="14"/>
    </row>
    <row r="4" spans="1:16" s="27" customFormat="1" ht="34.5" customHeight="1" x14ac:dyDescent="0.25">
      <c r="A4" s="27" t="s">
        <v>9</v>
      </c>
      <c r="G4" s="27" t="s">
        <v>38</v>
      </c>
      <c r="H4" s="28"/>
      <c r="J4" s="29"/>
      <c r="M4" s="35"/>
      <c r="N4" s="35"/>
    </row>
    <row r="5" spans="1:16" ht="30" customHeight="1" x14ac:dyDescent="0.25">
      <c r="A5" s="12" t="s">
        <v>455</v>
      </c>
      <c r="B5" s="12">
        <v>109</v>
      </c>
      <c r="C5" s="12">
        <v>23</v>
      </c>
      <c r="D5" s="38" t="s">
        <v>455</v>
      </c>
      <c r="E5" s="38" t="s">
        <v>455</v>
      </c>
      <c r="F5" s="12" t="s">
        <v>455</v>
      </c>
      <c r="G5" s="12" t="s">
        <v>455</v>
      </c>
      <c r="H5" s="12" t="s">
        <v>455</v>
      </c>
      <c r="I5" s="38" t="s">
        <v>455</v>
      </c>
      <c r="J5" s="12" t="s">
        <v>455</v>
      </c>
      <c r="K5" s="38" t="s">
        <v>455</v>
      </c>
      <c r="L5" s="12" t="s">
        <v>455</v>
      </c>
      <c r="M5" s="30" t="s">
        <v>455</v>
      </c>
      <c r="N5" s="30" t="s">
        <v>455</v>
      </c>
      <c r="O5" s="31"/>
    </row>
    <row r="6" spans="1:16" ht="30" customHeight="1" x14ac:dyDescent="0.25">
      <c r="A6" s="12" t="s">
        <v>9</v>
      </c>
      <c r="B6" s="12">
        <v>110</v>
      </c>
      <c r="C6" s="12"/>
      <c r="D6" s="38" t="s">
        <v>26</v>
      </c>
      <c r="E6" s="38" t="s">
        <v>890</v>
      </c>
      <c r="F6" s="12" t="s">
        <v>891</v>
      </c>
      <c r="G6" s="12">
        <v>3</v>
      </c>
      <c r="H6" s="12" t="s">
        <v>16</v>
      </c>
      <c r="I6" s="38" t="s">
        <v>44</v>
      </c>
      <c r="J6" s="12"/>
      <c r="K6" s="38" t="s">
        <v>46</v>
      </c>
      <c r="L6" s="12" t="s">
        <v>1336</v>
      </c>
      <c r="M6" s="696" t="s">
        <v>1338</v>
      </c>
      <c r="N6" s="695" t="s">
        <v>1338</v>
      </c>
      <c r="O6" s="26"/>
    </row>
    <row r="7" spans="1:16" ht="30" customHeight="1" x14ac:dyDescent="0.25">
      <c r="A7" s="12" t="s">
        <v>9</v>
      </c>
      <c r="B7" s="12">
        <v>111</v>
      </c>
      <c r="C7" s="12"/>
      <c r="D7" s="38" t="s">
        <v>26</v>
      </c>
      <c r="E7" s="38" t="s">
        <v>77</v>
      </c>
      <c r="F7" s="12" t="s">
        <v>893</v>
      </c>
      <c r="G7" s="12">
        <v>3</v>
      </c>
      <c r="H7" s="12" t="s">
        <v>16</v>
      </c>
      <c r="I7" s="38" t="s">
        <v>44</v>
      </c>
      <c r="J7" s="12"/>
      <c r="K7" s="38" t="s">
        <v>46</v>
      </c>
      <c r="L7" s="12" t="s">
        <v>1337</v>
      </c>
      <c r="M7" s="696" t="s">
        <v>1338</v>
      </c>
      <c r="N7" s="695" t="s">
        <v>1338</v>
      </c>
      <c r="O7" s="26"/>
    </row>
    <row r="8" spans="1:16" ht="30" customHeight="1" x14ac:dyDescent="0.25">
      <c r="A8" s="12" t="s">
        <v>9</v>
      </c>
      <c r="B8" s="12">
        <v>112</v>
      </c>
      <c r="C8" s="12"/>
      <c r="D8" s="38" t="s">
        <v>26</v>
      </c>
      <c r="E8" s="38" t="s">
        <v>78</v>
      </c>
      <c r="F8" s="12" t="s">
        <v>894</v>
      </c>
      <c r="G8" s="12">
        <v>3</v>
      </c>
      <c r="H8" s="12" t="s">
        <v>16</v>
      </c>
      <c r="I8" s="38" t="s">
        <v>44</v>
      </c>
      <c r="J8" s="12"/>
      <c r="K8" s="38" t="s">
        <v>46</v>
      </c>
      <c r="L8" s="12" t="s">
        <v>36</v>
      </c>
      <c r="M8" s="696" t="s">
        <v>1339</v>
      </c>
      <c r="N8" s="695" t="s">
        <v>1339</v>
      </c>
      <c r="O8" s="26"/>
    </row>
    <row r="9" spans="1:16" ht="30" customHeight="1" x14ac:dyDescent="0.25">
      <c r="A9" s="12" t="s">
        <v>9</v>
      </c>
      <c r="B9" s="12">
        <v>113</v>
      </c>
      <c r="C9" s="12"/>
      <c r="D9" s="38" t="s">
        <v>26</v>
      </c>
      <c r="E9" s="38" t="s">
        <v>78</v>
      </c>
      <c r="F9" s="12" t="s">
        <v>894</v>
      </c>
      <c r="G9" s="12">
        <v>3</v>
      </c>
      <c r="H9" s="12" t="s">
        <v>16</v>
      </c>
      <c r="I9" s="38" t="s">
        <v>44</v>
      </c>
      <c r="J9" s="12"/>
      <c r="K9" s="38" t="s">
        <v>46</v>
      </c>
      <c r="L9" s="12" t="s">
        <v>1336</v>
      </c>
      <c r="M9" s="696" t="s">
        <v>1340</v>
      </c>
      <c r="N9" s="695" t="s">
        <v>1340</v>
      </c>
      <c r="O9" s="26"/>
    </row>
    <row r="10" spans="1:16" ht="30" customHeight="1" x14ac:dyDescent="0.25">
      <c r="A10" s="12" t="s">
        <v>9</v>
      </c>
      <c r="B10" s="12">
        <v>114</v>
      </c>
      <c r="C10" s="12"/>
      <c r="D10" s="38" t="s">
        <v>26</v>
      </c>
      <c r="E10" s="38" t="s">
        <v>764</v>
      </c>
      <c r="F10" s="12"/>
      <c r="G10" s="12">
        <v>3</v>
      </c>
      <c r="H10" s="12" t="s">
        <v>16</v>
      </c>
      <c r="I10" s="38" t="s">
        <v>44</v>
      </c>
      <c r="J10" s="12"/>
      <c r="K10" s="38" t="s">
        <v>46</v>
      </c>
      <c r="L10" s="12" t="s">
        <v>1337</v>
      </c>
      <c r="M10" s="696" t="s">
        <v>1340</v>
      </c>
      <c r="N10" s="695" t="s">
        <v>1340</v>
      </c>
      <c r="O10" s="26"/>
    </row>
    <row r="11" spans="1:16" ht="30" customHeight="1" x14ac:dyDescent="0.25">
      <c r="A11" s="12" t="s">
        <v>9</v>
      </c>
      <c r="B11" s="12">
        <v>115</v>
      </c>
      <c r="C11" s="12"/>
      <c r="D11" s="38" t="s">
        <v>26</v>
      </c>
      <c r="E11" s="38" t="s">
        <v>765</v>
      </c>
      <c r="F11" s="12"/>
      <c r="G11" s="12">
        <v>3</v>
      </c>
      <c r="H11" s="12" t="s">
        <v>16</v>
      </c>
      <c r="I11" s="38" t="s">
        <v>44</v>
      </c>
      <c r="J11" s="12"/>
      <c r="K11" s="38" t="s">
        <v>46</v>
      </c>
      <c r="L11" s="12" t="s">
        <v>36</v>
      </c>
      <c r="M11" s="696" t="s">
        <v>1340</v>
      </c>
      <c r="N11" s="695" t="s">
        <v>1340</v>
      </c>
      <c r="O11" s="26"/>
    </row>
    <row r="12" spans="1:16" ht="23.25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 s="26"/>
    </row>
    <row r="13" spans="1:16" ht="23.2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6" ht="23.2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6" ht="23.2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 s="32"/>
    </row>
    <row r="16" spans="1:16" ht="23.2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5" ht="23.2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</row>
    <row r="18" spans="1:15" ht="23.2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5" ht="23.25" customHeigh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5" ht="23.25" customHeigh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5" ht="23.25" customHeigh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5" ht="23.25" customHeigh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5" ht="23.25" customHeigh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5" ht="23.25" customHeigh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5" ht="23.25" customHeigh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5" ht="23.2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5" ht="23.2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5" ht="23.25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 s="32"/>
    </row>
    <row r="29" spans="1:15" ht="23.25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5" ht="23.25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5" ht="23.25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5" ht="23.25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4" ht="23.25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ht="23.2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1:14" ht="23.2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4" ht="23.2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4" ht="23.2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4" ht="23.2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4" ht="23.2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4" ht="23.25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4" ht="23.25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4" ht="23.2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4" ht="23.25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</sheetData>
  <sheetProtection algorithmName="SHA-512" hashValue="oE1JWgR6gA/JEm9OybhAE0pAGayfVjc1SgGj3afF9Za3/IDAjNDZO6E/Jnv6vJNOEiCnfnZLB5mxC0TPv869hg==" saltValue="LEka1vcM2Ld2pH71T7cb3Q==" spinCount="100000" sheet="1" objects="1" scenarios="1"/>
  <mergeCells count="1">
    <mergeCell ref="A1:L2"/>
  </mergeCells>
  <conditionalFormatting sqref="O1 O13:O1048576 O4">
    <cfRule type="containsText" dxfId="11" priority="21" operator="containsText" text="Lucrarile s-au efectuat">
      <formula>NOT(ISERROR(SEARCH("Lucrarile s-au efectuat",O1)))</formula>
    </cfRule>
    <cfRule type="containsText" dxfId="10" priority="22" operator="containsText" text="Lucrarile s-au terminat">
      <formula>NOT(ISERROR(SEARCH("Lucrarile s-au terminat",O1)))</formula>
    </cfRule>
    <cfRule type="containsText" dxfId="9" priority="23" operator="containsText" text="Lucrarile nu s-au efectuat">
      <formula>NOT(ISERROR(SEARCH("Lucrarile nu s-au efectuat",O1)))</formula>
    </cfRule>
    <cfRule type="containsText" dxfId="8" priority="24" operator="containsText" text="Echipa admisa">
      <formula>NOT(ISERROR(SEARCH("Echipa admisa",O1)))</formula>
    </cfRule>
    <cfRule type="containsText" dxfId="7" priority="25" operator="containsText" text="Echipa admisa">
      <formula>NOT(ISERROR(SEARCH("Echipa admisa",O1)))</formula>
    </cfRule>
    <cfRule type="containsText" dxfId="6" priority="26" operator="containsText" text="Echipa admisa">
      <formula>NOT(ISERROR(SEARCH("Echipa admisa",O1)))</formula>
    </cfRule>
    <cfRule type="containsText" dxfId="5" priority="27" operator="containsText" text="Nou inregistrata">
      <formula>NOT(ISERROR(SEARCH("Nou inregistrata",O1)))</formula>
    </cfRule>
    <cfRule type="containsText" dxfId="4" priority="29" operator="containsText" text="Nou inregistrata">
      <formula>NOT(ISERROR(SEARCH("Nou inregistrata",O1)))</formula>
    </cfRule>
  </conditionalFormatting>
  <conditionalFormatting sqref="M1:M4 M44:M1048576">
    <cfRule type="containsText" dxfId="3" priority="4" operator="containsText" text="Echipa admisa">
      <formula>NOT(ISERROR(SEARCH("Echipa admisa",M1)))</formula>
    </cfRule>
    <cfRule type="containsText" dxfId="2" priority="6" operator="containsText" text="Nou inregistrata">
      <formula>NOT(ISERROR(SEARCH("Nou inregistrata",M1)))</formula>
    </cfRule>
  </conditionalFormatting>
  <conditionalFormatting sqref="N1:N4 N44:N1048576">
    <cfRule type="containsText" dxfId="1" priority="2" operator="containsText" text="Nu s-a lucrat">
      <formula>NOT(ISERROR(SEARCH("Nu s-a lucrat",N1)))</formula>
    </cfRule>
    <cfRule type="containsText" dxfId="0" priority="3" operator="containsText" text="Lucrari terminate">
      <formula>NOT(ISERROR(SEARCH("Lucrari terminate",N1)))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610" r:id="rId4" name="myCheck11">
          <controlPr defaultSize="0" autoLine="0" r:id="rId5">
            <anchor moveWithCells="1" sizeWithCells="1">
              <from>
                <xdr:col>13</xdr:col>
                <xdr:colOff>723900</xdr:colOff>
                <xdr:row>10</xdr:row>
                <xdr:rowOff>19050</xdr:rowOff>
              </from>
              <to>
                <xdr:col>13</xdr:col>
                <xdr:colOff>1485900</xdr:colOff>
                <xdr:row>10</xdr:row>
                <xdr:rowOff>342900</xdr:rowOff>
              </to>
            </anchor>
          </controlPr>
        </control>
      </mc:Choice>
      <mc:Fallback>
        <control shapeId="8610" r:id="rId4" name="myCheck11"/>
      </mc:Fallback>
    </mc:AlternateContent>
    <mc:AlternateContent xmlns:mc="http://schemas.openxmlformats.org/markup-compatibility/2006">
      <mc:Choice Requires="x14">
        <control shapeId="8609" r:id="rId6" name="myCombo11">
          <controlPr defaultSize="0" autoLine="0" r:id="rId7">
            <anchor moveWithCells="1" sizeWithCells="1">
              <from>
                <xdr:col>12</xdr:col>
                <xdr:colOff>0</xdr:colOff>
                <xdr:row>10</xdr:row>
                <xdr:rowOff>0</xdr:rowOff>
              </from>
              <to>
                <xdr:col>13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8609" r:id="rId6" name="myCombo11"/>
      </mc:Fallback>
    </mc:AlternateContent>
    <mc:AlternateContent xmlns:mc="http://schemas.openxmlformats.org/markup-compatibility/2006">
      <mc:Choice Requires="x14">
        <control shapeId="8608" r:id="rId8" name="myCheck10">
          <controlPr defaultSize="0" autoLine="0" r:id="rId5">
            <anchor moveWithCells="1" sizeWithCells="1">
              <from>
                <xdr:col>13</xdr:col>
                <xdr:colOff>723900</xdr:colOff>
                <xdr:row>9</xdr:row>
                <xdr:rowOff>19050</xdr:rowOff>
              </from>
              <to>
                <xdr:col>13</xdr:col>
                <xdr:colOff>1485900</xdr:colOff>
                <xdr:row>9</xdr:row>
                <xdr:rowOff>342900</xdr:rowOff>
              </to>
            </anchor>
          </controlPr>
        </control>
      </mc:Choice>
      <mc:Fallback>
        <control shapeId="8608" r:id="rId8" name="myCheck10"/>
      </mc:Fallback>
    </mc:AlternateContent>
    <mc:AlternateContent xmlns:mc="http://schemas.openxmlformats.org/markup-compatibility/2006">
      <mc:Choice Requires="x14">
        <control shapeId="8607" r:id="rId9" name="myCombo10">
          <controlPr defaultSize="0" autoLine="0" r:id="rId10">
            <anchor moveWithCells="1" sizeWithCells="1">
              <from>
                <xdr:col>12</xdr:col>
                <xdr:colOff>0</xdr:colOff>
                <xdr:row>9</xdr:row>
                <xdr:rowOff>0</xdr:rowOff>
              </from>
              <to>
                <xdr:col>13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8607" r:id="rId9" name="myCombo10"/>
      </mc:Fallback>
    </mc:AlternateContent>
    <mc:AlternateContent xmlns:mc="http://schemas.openxmlformats.org/markup-compatibility/2006">
      <mc:Choice Requires="x14">
        <control shapeId="8606" r:id="rId11" name="myCheck9">
          <controlPr defaultSize="0" autoLine="0" r:id="rId5">
            <anchor moveWithCells="1" sizeWithCells="1">
              <from>
                <xdr:col>13</xdr:col>
                <xdr:colOff>723900</xdr:colOff>
                <xdr:row>8</xdr:row>
                <xdr:rowOff>19050</xdr:rowOff>
              </from>
              <to>
                <xdr:col>13</xdr:col>
                <xdr:colOff>1485900</xdr:colOff>
                <xdr:row>8</xdr:row>
                <xdr:rowOff>342900</xdr:rowOff>
              </to>
            </anchor>
          </controlPr>
        </control>
      </mc:Choice>
      <mc:Fallback>
        <control shapeId="8606" r:id="rId11" name="myCheck9"/>
      </mc:Fallback>
    </mc:AlternateContent>
    <mc:AlternateContent xmlns:mc="http://schemas.openxmlformats.org/markup-compatibility/2006">
      <mc:Choice Requires="x14">
        <control shapeId="8605" r:id="rId12" name="myCombo9">
          <controlPr defaultSize="0" autoLine="0" r:id="rId13">
            <anchor moveWithCells="1" sizeWithCells="1">
              <from>
                <xdr:col>12</xdr:col>
                <xdr:colOff>0</xdr:colOff>
                <xdr:row>8</xdr:row>
                <xdr:rowOff>0</xdr:rowOff>
              </from>
              <to>
                <xdr:col>13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8605" r:id="rId12" name="myCombo9"/>
      </mc:Fallback>
    </mc:AlternateContent>
    <mc:AlternateContent xmlns:mc="http://schemas.openxmlformats.org/markup-compatibility/2006">
      <mc:Choice Requires="x14">
        <control shapeId="8238" r:id="rId14" name="Instructiune">
          <controlPr defaultSize="0" autoLine="0" autoPict="0" r:id="rId15">
            <anchor moveWithCells="1" sizeWithCells="1">
              <from>
                <xdr:col>12</xdr:col>
                <xdr:colOff>9525</xdr:colOff>
                <xdr:row>0</xdr:row>
                <xdr:rowOff>0</xdr:rowOff>
              </from>
              <to>
                <xdr:col>14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238" r:id="rId14" name="Instructiune"/>
      </mc:Fallback>
    </mc:AlternateContent>
    <mc:AlternateContent xmlns:mc="http://schemas.openxmlformats.org/markup-compatibility/2006">
      <mc:Choice Requires="x14">
        <control shapeId="1688" r:id="rId16" name="Formateaza">
          <controlPr defaultSize="0" autoLine="0" autoPict="0" r:id="rId17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688" r:id="rId16" name="Formateaza"/>
      </mc:Fallback>
    </mc:AlternateContent>
    <mc:AlternateContent xmlns:mc="http://schemas.openxmlformats.org/markup-compatibility/2006">
      <mc:Choice Requires="x14">
        <control shapeId="1075" r:id="rId18" name="Form6">
          <controlPr defaultSize="0" disabled="1" autoLine="0" r:id="rId19">
            <anchor moveWithCells="1" siz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75" r:id="rId18" name="Form6"/>
      </mc:Fallback>
    </mc:AlternateContent>
    <mc:AlternateContent xmlns:mc="http://schemas.openxmlformats.org/markup-compatibility/2006">
      <mc:Choice Requires="x14">
        <control shapeId="1063" r:id="rId20" name="Form3">
          <controlPr defaultSize="0" disabled="1" autoLine="0" r:id="rId21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63" r:id="rId20" name="Form3"/>
      </mc:Fallback>
    </mc:AlternateContent>
    <mc:AlternateContent xmlns:mc="http://schemas.openxmlformats.org/markup-compatibility/2006">
      <mc:Choice Requires="x14">
        <control shapeId="1061" r:id="rId22" name="Form10">
          <controlPr defaultSize="0" autoLine="0" r:id="rId23">
            <anchor moveWithCells="1" sizeWithCells="1">
              <from>
                <xdr:col>9</xdr:col>
                <xdr:colOff>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61" r:id="rId22" name="Form10"/>
      </mc:Fallback>
    </mc:AlternateContent>
    <mc:AlternateContent xmlns:mc="http://schemas.openxmlformats.org/markup-compatibility/2006">
      <mc:Choice Requires="x14">
        <control shapeId="1044" r:id="rId24" name="Form1">
          <controlPr defaultSize="0" autoLine="0" listFillRange="Data!A2:A5" r:id="rId25">
            <anchor moveWithCells="1" sizeWithCells="1">
              <from>
                <xdr:col>0</xdr:col>
                <xdr:colOff>0</xdr:colOff>
                <xdr:row>3</xdr:row>
                <xdr:rowOff>0</xdr:rowOff>
              </from>
              <to>
                <xdr:col>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44" r:id="rId24" name="Form1"/>
      </mc:Fallback>
    </mc:AlternateContent>
    <mc:AlternateContent xmlns:mc="http://schemas.openxmlformats.org/markup-compatibility/2006">
      <mc:Choice Requires="x14">
        <control shapeId="1045" r:id="rId26" name="Form4">
          <controlPr defaultSize="0" autoLine="0" listFillRange="Data!$C$2:$C$5" r:id="rId27">
            <anchor moveWithCells="1" siz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45" r:id="rId26" name="Form4"/>
      </mc:Fallback>
    </mc:AlternateContent>
    <mc:AlternateContent xmlns:mc="http://schemas.openxmlformats.org/markup-compatibility/2006">
      <mc:Choice Requires="x14">
        <control shapeId="1047" r:id="rId28" name="Form5">
          <controlPr defaultSize="0" autoLine="0" listFillRange="UNGHENI!$I$8:$I$667" r:id="rId29">
            <anchor moveWithCells="1" siz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0</xdr:rowOff>
              </to>
            </anchor>
          </controlPr>
        </control>
      </mc:Choice>
      <mc:Fallback>
        <control shapeId="1047" r:id="rId28" name="Form5"/>
      </mc:Fallback>
    </mc:AlternateContent>
    <mc:AlternateContent xmlns:mc="http://schemas.openxmlformats.org/markup-compatibility/2006">
      <mc:Choice Requires="x14">
        <control shapeId="1048" r:id="rId30" name="Form8">
          <controlPr defaultSize="0" autoLine="0" listFillRange="Data!$E$2:$E$9" r:id="rId31">
            <anchor moveWithCells="1" siz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48" r:id="rId30" name="Form8"/>
      </mc:Fallback>
    </mc:AlternateContent>
    <mc:AlternateContent xmlns:mc="http://schemas.openxmlformats.org/markup-compatibility/2006">
      <mc:Choice Requires="x14">
        <control shapeId="1049" r:id="rId32" name="Form9">
          <controlPr defaultSize="0" autoLine="0" listFillRange="Data!$F$2:$F$36" r:id="rId33">
            <anchor moveWithCells="1" sizeWithCells="1">
              <from>
                <xdr:col>8</xdr:col>
                <xdr:colOff>0</xdr:colOff>
                <xdr:row>3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49" r:id="rId32" name="Form9"/>
      </mc:Fallback>
    </mc:AlternateContent>
    <mc:AlternateContent xmlns:mc="http://schemas.openxmlformats.org/markup-compatibility/2006">
      <mc:Choice Requires="x14">
        <control shapeId="1050" r:id="rId34" name="Form11">
          <controlPr defaultSize="0" autoLine="0" listFillRange="Data!$F$2:$F$18" r:id="rId35">
            <anchor moveWithCells="1" sizeWithCells="1">
              <from>
                <xdr:col>10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50" r:id="rId34" name="Form11"/>
      </mc:Fallback>
    </mc:AlternateContent>
    <mc:AlternateContent xmlns:mc="http://schemas.openxmlformats.org/markup-compatibility/2006">
      <mc:Choice Requires="x14">
        <control shapeId="1052" r:id="rId36" name="Inregistrati">
          <controlPr defaultSize="0" autoLine="0" r:id="rId37">
            <anchor moveWithCells="1" sizeWithCells="1">
              <from>
                <xdr:col>12</xdr:col>
                <xdr:colOff>0</xdr:colOff>
                <xdr:row>3</xdr:row>
                <xdr:rowOff>0</xdr:rowOff>
              </from>
              <to>
                <xdr:col>14</xdr:col>
                <xdr:colOff>0</xdr:colOff>
                <xdr:row>3</xdr:row>
                <xdr:rowOff>419100</xdr:rowOff>
              </to>
            </anchor>
          </controlPr>
        </control>
      </mc:Choice>
      <mc:Fallback>
        <control shapeId="1052" r:id="rId36" name="Inregistrati"/>
      </mc:Fallback>
    </mc:AlternateContent>
    <mc:AlternateContent xmlns:mc="http://schemas.openxmlformats.org/markup-compatibility/2006">
      <mc:Choice Requires="x14">
        <control shapeId="1054" r:id="rId38" name="Form2">
          <controlPr defaultSize="0" autoLine="0" listFillRange="Data!B2:B3" r:id="rId39">
            <anchor moveWithCells="1" siz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54" r:id="rId38" name="Form2"/>
      </mc:Fallback>
    </mc:AlternateContent>
    <mc:AlternateContent xmlns:mc="http://schemas.openxmlformats.org/markup-compatibility/2006">
      <mc:Choice Requires="x14">
        <control shapeId="1056" r:id="rId40" name="Form7">
          <controlPr defaultSize="0" autoLine="0" listFillRange="Data!D2:D31" r:id="rId41">
            <anchor moveWithCells="1" siz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56" r:id="rId40" name="Form7"/>
      </mc:Fallback>
    </mc:AlternateContent>
    <mc:AlternateContent xmlns:mc="http://schemas.openxmlformats.org/markup-compatibility/2006">
      <mc:Choice Requires="x14">
        <control shapeId="1057" r:id="rId42" name="Form12">
          <controlPr defaultSize="0" autoLine="0" autoPict="0" listFillRange="Data!$H$2:$H$4" r:id="rId43">
            <anchor moveWithCells="1" siz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57" r:id="rId42" name="Form12"/>
      </mc:Fallback>
    </mc:AlternateContent>
    <mc:AlternateContent xmlns:mc="http://schemas.openxmlformats.org/markup-compatibility/2006">
      <mc:Choice Requires="x14">
        <control shapeId="1268" r:id="rId44" name="Executa">
          <controlPr defaultSize="0" autoLine="0" autoPict="0" r:id="rId45">
            <anchor moveWithCells="1" sizeWithCells="1">
              <from>
                <xdr:col>12</xdr:col>
                <xdr:colOff>9525</xdr:colOff>
                <xdr:row>2</xdr:row>
                <xdr:rowOff>0</xdr:rowOff>
              </from>
              <to>
                <xdr:col>14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68" r:id="rId44" name="Executa"/>
      </mc:Fallback>
    </mc:AlternateContent>
    <mc:AlternateContent xmlns:mc="http://schemas.openxmlformats.org/markup-compatibility/2006">
      <mc:Choice Requires="x14">
        <control shapeId="8599" r:id="rId46" name="myCombo6">
          <controlPr defaultSize="0" autoLine="0" r:id="rId47">
            <anchor moveWithCells="1" sizeWithCells="1">
              <from>
                <xdr:col>12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8599" r:id="rId46" name="myCombo6"/>
      </mc:Fallback>
    </mc:AlternateContent>
    <mc:AlternateContent xmlns:mc="http://schemas.openxmlformats.org/markup-compatibility/2006">
      <mc:Choice Requires="x14">
        <control shapeId="8600" r:id="rId48" name="myCheck6">
          <controlPr defaultSize="0" autoLine="0" r:id="rId5">
            <anchor moveWithCells="1" sizeWithCells="1">
              <from>
                <xdr:col>13</xdr:col>
                <xdr:colOff>723900</xdr:colOff>
                <xdr:row>5</xdr:row>
                <xdr:rowOff>19050</xdr:rowOff>
              </from>
              <to>
                <xdr:col>13</xdr:col>
                <xdr:colOff>1485900</xdr:colOff>
                <xdr:row>5</xdr:row>
                <xdr:rowOff>342900</xdr:rowOff>
              </to>
            </anchor>
          </controlPr>
        </control>
      </mc:Choice>
      <mc:Fallback>
        <control shapeId="8600" r:id="rId48" name="myCheck6"/>
      </mc:Fallback>
    </mc:AlternateContent>
    <mc:AlternateContent xmlns:mc="http://schemas.openxmlformats.org/markup-compatibility/2006">
      <mc:Choice Requires="x14">
        <control shapeId="8601" r:id="rId49" name="myCombo7">
          <controlPr defaultSize="0" autoLine="0" r:id="rId50">
            <anchor moveWithCells="1" sizeWithCells="1">
              <from>
                <xdr:col>12</xdr:col>
                <xdr:colOff>0</xdr:colOff>
                <xdr:row>6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8601" r:id="rId49" name="myCombo7"/>
      </mc:Fallback>
    </mc:AlternateContent>
    <mc:AlternateContent xmlns:mc="http://schemas.openxmlformats.org/markup-compatibility/2006">
      <mc:Choice Requires="x14">
        <control shapeId="8602" r:id="rId51" name="myCheck7">
          <controlPr defaultSize="0" autoLine="0" r:id="rId5">
            <anchor moveWithCells="1" sizeWithCells="1">
              <from>
                <xdr:col>13</xdr:col>
                <xdr:colOff>723900</xdr:colOff>
                <xdr:row>6</xdr:row>
                <xdr:rowOff>19050</xdr:rowOff>
              </from>
              <to>
                <xdr:col>13</xdr:col>
                <xdr:colOff>1485900</xdr:colOff>
                <xdr:row>6</xdr:row>
                <xdr:rowOff>342900</xdr:rowOff>
              </to>
            </anchor>
          </controlPr>
        </control>
      </mc:Choice>
      <mc:Fallback>
        <control shapeId="8602" r:id="rId51" name="myCheck7"/>
      </mc:Fallback>
    </mc:AlternateContent>
    <mc:AlternateContent xmlns:mc="http://schemas.openxmlformats.org/markup-compatibility/2006">
      <mc:Choice Requires="x14">
        <control shapeId="8603" r:id="rId52" name="myCombo8">
          <controlPr defaultSize="0" autoLine="0" r:id="rId53">
            <anchor moveWithCells="1" sizeWithCells="1">
              <from>
                <xdr:col>12</xdr:col>
                <xdr:colOff>0</xdr:colOff>
                <xdr:row>7</xdr:row>
                <xdr:rowOff>0</xdr:rowOff>
              </from>
              <to>
                <xdr:col>13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8603" r:id="rId52" name="myCombo8"/>
      </mc:Fallback>
    </mc:AlternateContent>
    <mc:AlternateContent xmlns:mc="http://schemas.openxmlformats.org/markup-compatibility/2006">
      <mc:Choice Requires="x14">
        <control shapeId="8604" r:id="rId54" name="myCheck8">
          <controlPr defaultSize="0" autoLine="0" r:id="rId5">
            <anchor moveWithCells="1" sizeWithCells="1">
              <from>
                <xdr:col>13</xdr:col>
                <xdr:colOff>723900</xdr:colOff>
                <xdr:row>7</xdr:row>
                <xdr:rowOff>19050</xdr:rowOff>
              </from>
              <to>
                <xdr:col>13</xdr:col>
                <xdr:colOff>1485900</xdr:colOff>
                <xdr:row>7</xdr:row>
                <xdr:rowOff>342900</xdr:rowOff>
              </to>
            </anchor>
          </controlPr>
        </control>
      </mc:Choice>
      <mc:Fallback>
        <control shapeId="8604" r:id="rId54" name="myCheck8"/>
      </mc:Fallback>
    </mc:AlternateContent>
    <mc:AlternateContent xmlns:mc="http://schemas.openxmlformats.org/markup-compatibility/2006">
      <mc:Choice Requires="x14">
        <control shapeId="1082" r:id="rId55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56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57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58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59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60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61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62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63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64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65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66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67" name="Combo Box 2">
          <controlPr defaultSize="0" autoFill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4A159-68BC-4EE2-AD5E-AA7EF3D2B948}">
  <sheetPr codeName="Sheet5"/>
  <dimension ref="A1:H36"/>
  <sheetViews>
    <sheetView workbookViewId="0">
      <selection activeCell="A4" sqref="A4:XFD4"/>
    </sheetView>
  </sheetViews>
  <sheetFormatPr defaultRowHeight="15" x14ac:dyDescent="0.25"/>
  <cols>
    <col min="1" max="1" width="6.85546875" customWidth="1"/>
    <col min="2" max="2" width="11" customWidth="1"/>
    <col min="3" max="3" width="26.5703125" customWidth="1"/>
    <col min="4" max="4" width="8.7109375" style="2" customWidth="1"/>
    <col min="5" max="5" width="26.5703125" customWidth="1"/>
    <col min="6" max="6" width="24.140625" customWidth="1"/>
    <col min="7" max="7" width="23.7109375" customWidth="1"/>
    <col min="8" max="8" width="19.140625" customWidth="1"/>
  </cols>
  <sheetData>
    <row r="1" spans="1:8" x14ac:dyDescent="0.25">
      <c r="A1" s="1" t="s">
        <v>23</v>
      </c>
      <c r="B1" s="1" t="s">
        <v>33</v>
      </c>
      <c r="C1" s="1" t="s">
        <v>2</v>
      </c>
      <c r="D1" s="9" t="s">
        <v>32</v>
      </c>
      <c r="E1" s="1" t="s">
        <v>13</v>
      </c>
      <c r="F1" s="1" t="s">
        <v>27</v>
      </c>
      <c r="G1" s="1" t="s">
        <v>8</v>
      </c>
      <c r="H1" s="1" t="s">
        <v>1335</v>
      </c>
    </row>
    <row r="2" spans="1:8" x14ac:dyDescent="0.25">
      <c r="A2" t="s">
        <v>9</v>
      </c>
      <c r="B2" s="2" t="s">
        <v>35</v>
      </c>
      <c r="C2" t="s">
        <v>26</v>
      </c>
      <c r="D2" s="2">
        <v>1</v>
      </c>
      <c r="E2" t="s">
        <v>14</v>
      </c>
      <c r="F2" s="3" t="s">
        <v>39</v>
      </c>
      <c r="G2" t="s">
        <v>28</v>
      </c>
      <c r="H2" t="s">
        <v>1336</v>
      </c>
    </row>
    <row r="3" spans="1:8" x14ac:dyDescent="0.25">
      <c r="A3" t="s">
        <v>22</v>
      </c>
      <c r="B3" s="2" t="s">
        <v>36</v>
      </c>
      <c r="C3" t="s">
        <v>73</v>
      </c>
      <c r="D3" s="2">
        <v>2</v>
      </c>
      <c r="E3" t="s">
        <v>15</v>
      </c>
      <c r="F3" s="4" t="s">
        <v>41</v>
      </c>
      <c r="G3" t="s">
        <v>29</v>
      </c>
      <c r="H3" t="s">
        <v>1337</v>
      </c>
    </row>
    <row r="4" spans="1:8" x14ac:dyDescent="0.25">
      <c r="A4" t="s">
        <v>24</v>
      </c>
      <c r="C4" t="s">
        <v>10</v>
      </c>
      <c r="D4" s="2">
        <v>3</v>
      </c>
      <c r="E4" t="s">
        <v>16</v>
      </c>
      <c r="F4" s="5" t="s">
        <v>54</v>
      </c>
      <c r="G4" t="s">
        <v>30</v>
      </c>
      <c r="H4" t="s">
        <v>36</v>
      </c>
    </row>
    <row r="5" spans="1:8" x14ac:dyDescent="0.25">
      <c r="A5" t="s">
        <v>25</v>
      </c>
      <c r="C5" t="s">
        <v>21</v>
      </c>
      <c r="D5" s="2">
        <v>4</v>
      </c>
      <c r="E5" t="s">
        <v>17</v>
      </c>
      <c r="F5" s="6" t="s">
        <v>53</v>
      </c>
      <c r="G5" t="s">
        <v>31</v>
      </c>
    </row>
    <row r="6" spans="1:8" x14ac:dyDescent="0.25">
      <c r="D6" s="2">
        <v>5</v>
      </c>
      <c r="E6" t="s">
        <v>18</v>
      </c>
      <c r="F6" s="5" t="s">
        <v>52</v>
      </c>
    </row>
    <row r="7" spans="1:8" x14ac:dyDescent="0.25">
      <c r="D7" s="2">
        <v>6</v>
      </c>
      <c r="E7" t="s">
        <v>19</v>
      </c>
      <c r="F7" s="6" t="s">
        <v>40</v>
      </c>
    </row>
    <row r="8" spans="1:8" x14ac:dyDescent="0.25">
      <c r="D8" s="2">
        <v>7</v>
      </c>
      <c r="E8" t="s">
        <v>20</v>
      </c>
      <c r="F8" t="s">
        <v>51</v>
      </c>
    </row>
    <row r="9" spans="1:8" x14ac:dyDescent="0.25">
      <c r="D9" s="2">
        <v>8</v>
      </c>
      <c r="E9" t="s">
        <v>72</v>
      </c>
      <c r="F9" t="s">
        <v>50</v>
      </c>
    </row>
    <row r="10" spans="1:8" x14ac:dyDescent="0.25">
      <c r="D10" s="2">
        <v>9</v>
      </c>
      <c r="F10" t="s">
        <v>49</v>
      </c>
    </row>
    <row r="11" spans="1:8" x14ac:dyDescent="0.25">
      <c r="D11" s="2">
        <v>10</v>
      </c>
      <c r="F11" t="s">
        <v>48</v>
      </c>
    </row>
    <row r="12" spans="1:8" x14ac:dyDescent="0.25">
      <c r="D12" s="2">
        <v>11</v>
      </c>
      <c r="F12" s="5" t="s">
        <v>47</v>
      </c>
      <c r="H12" s="5"/>
    </row>
    <row r="13" spans="1:8" x14ac:dyDescent="0.25">
      <c r="D13" s="2">
        <v>12</v>
      </c>
      <c r="F13" s="6" t="s">
        <v>46</v>
      </c>
      <c r="H13" s="6"/>
    </row>
    <row r="14" spans="1:8" x14ac:dyDescent="0.25">
      <c r="D14" s="2">
        <v>13</v>
      </c>
      <c r="F14" t="s">
        <v>42</v>
      </c>
    </row>
    <row r="15" spans="1:8" x14ac:dyDescent="0.25">
      <c r="D15" s="10">
        <v>14</v>
      </c>
      <c r="F15" s="7" t="s">
        <v>43</v>
      </c>
      <c r="H15" s="7"/>
    </row>
    <row r="16" spans="1:8" x14ac:dyDescent="0.25">
      <c r="D16" s="10">
        <v>15</v>
      </c>
      <c r="F16" s="6" t="s">
        <v>44</v>
      </c>
      <c r="H16" s="6"/>
    </row>
    <row r="17" spans="4:6" x14ac:dyDescent="0.25">
      <c r="D17" s="10">
        <v>16</v>
      </c>
      <c r="F17" t="s">
        <v>55</v>
      </c>
    </row>
    <row r="18" spans="4:6" x14ac:dyDescent="0.25">
      <c r="D18" s="10">
        <v>17</v>
      </c>
      <c r="F18" s="5" t="s">
        <v>45</v>
      </c>
    </row>
    <row r="19" spans="4:6" x14ac:dyDescent="0.25">
      <c r="D19" s="10">
        <v>18</v>
      </c>
      <c r="F19" s="6" t="s">
        <v>60</v>
      </c>
    </row>
    <row r="20" spans="4:6" x14ac:dyDescent="0.25">
      <c r="D20" s="10">
        <v>19</v>
      </c>
      <c r="F20" s="6" t="s">
        <v>61</v>
      </c>
    </row>
    <row r="21" spans="4:6" x14ac:dyDescent="0.25">
      <c r="D21" s="10">
        <v>20</v>
      </c>
      <c r="F21" s="7" t="s">
        <v>62</v>
      </c>
    </row>
    <row r="22" spans="4:6" x14ac:dyDescent="0.25">
      <c r="D22" s="10">
        <v>21</v>
      </c>
      <c r="F22" s="6" t="s">
        <v>57</v>
      </c>
    </row>
    <row r="23" spans="4:6" x14ac:dyDescent="0.25">
      <c r="D23" s="10">
        <v>22</v>
      </c>
      <c r="F23" s="11" t="s">
        <v>63</v>
      </c>
    </row>
    <row r="24" spans="4:6" x14ac:dyDescent="0.25">
      <c r="D24" s="10">
        <v>23</v>
      </c>
      <c r="F24" t="s">
        <v>64</v>
      </c>
    </row>
    <row r="25" spans="4:6" x14ac:dyDescent="0.25">
      <c r="D25" s="10">
        <v>24</v>
      </c>
      <c r="F25" s="5" t="s">
        <v>58</v>
      </c>
    </row>
    <row r="26" spans="4:6" x14ac:dyDescent="0.25">
      <c r="D26" s="10">
        <v>25</v>
      </c>
      <c r="F26" s="5" t="s">
        <v>56</v>
      </c>
    </row>
    <row r="27" spans="4:6" x14ac:dyDescent="0.25">
      <c r="D27" s="10">
        <v>26</v>
      </c>
      <c r="F27" s="5" t="s">
        <v>65</v>
      </c>
    </row>
    <row r="28" spans="4:6" x14ac:dyDescent="0.25">
      <c r="D28" s="10">
        <v>27</v>
      </c>
      <c r="E28" s="8"/>
      <c r="F28" s="6" t="s">
        <v>66</v>
      </c>
    </row>
    <row r="29" spans="4:6" x14ac:dyDescent="0.25">
      <c r="D29" s="10">
        <v>28</v>
      </c>
      <c r="F29" s="6" t="s">
        <v>67</v>
      </c>
    </row>
    <row r="30" spans="4:6" x14ac:dyDescent="0.25">
      <c r="D30" s="10">
        <v>29</v>
      </c>
      <c r="F30" s="5" t="s">
        <v>68</v>
      </c>
    </row>
    <row r="31" spans="4:6" x14ac:dyDescent="0.25">
      <c r="D31" s="10">
        <v>30</v>
      </c>
      <c r="F31" s="37" t="s">
        <v>74</v>
      </c>
    </row>
    <row r="32" spans="4:6" x14ac:dyDescent="0.25">
      <c r="F32" s="37" t="s">
        <v>75</v>
      </c>
    </row>
    <row r="33" spans="6:6" x14ac:dyDescent="0.25">
      <c r="F33" s="6" t="s">
        <v>69</v>
      </c>
    </row>
    <row r="34" spans="6:6" x14ac:dyDescent="0.25">
      <c r="F34" s="11" t="s">
        <v>70</v>
      </c>
    </row>
    <row r="35" spans="6:6" x14ac:dyDescent="0.25">
      <c r="F35" s="5" t="s">
        <v>59</v>
      </c>
    </row>
    <row r="36" spans="6:6" x14ac:dyDescent="0.25">
      <c r="F36" s="11" t="s">
        <v>71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E191D-89A6-47F0-8347-2C2403A3A765}">
  <sheetPr codeName="Sheet2">
    <tabColor rgb="FFFFC000"/>
  </sheetPr>
  <dimension ref="A1:AC667"/>
  <sheetViews>
    <sheetView topLeftCell="H494" workbookViewId="0">
      <selection activeCell="G509" sqref="A509:XFD509"/>
    </sheetView>
  </sheetViews>
  <sheetFormatPr defaultRowHeight="15" x14ac:dyDescent="0.25"/>
  <cols>
    <col min="1" max="3" width="9.140625" style="41"/>
    <col min="4" max="4" width="20.7109375" style="41" customWidth="1"/>
    <col min="5" max="5" width="9.140625" style="41"/>
    <col min="6" max="6" width="9.85546875" style="41" customWidth="1"/>
    <col min="7" max="8" width="9.140625" style="41"/>
    <col min="9" max="9" width="16.28515625" style="41" customWidth="1"/>
    <col min="10" max="10" width="9.140625" style="41"/>
    <col min="11" max="11" width="8.28515625" style="41" customWidth="1"/>
    <col min="12" max="12" width="7.28515625" style="41" customWidth="1"/>
    <col min="13" max="15" width="9.140625" style="41"/>
    <col min="16" max="16" width="27.140625" style="41" customWidth="1"/>
    <col min="17" max="17" width="26.85546875" style="41" customWidth="1"/>
    <col min="18" max="18" width="35.140625" style="41" customWidth="1"/>
    <col min="19" max="19" width="18.5703125" style="45" customWidth="1"/>
    <col min="20" max="20" width="18.140625" style="45" customWidth="1"/>
    <col min="21" max="21" width="22.28515625" style="41" bestFit="1" customWidth="1"/>
    <col min="22" max="22" width="21.42578125" style="41" customWidth="1"/>
    <col min="23" max="16384" width="9.140625" style="41"/>
  </cols>
  <sheetData>
    <row r="1" spans="1:22" ht="25.5" x14ac:dyDescent="0.25">
      <c r="D1" s="42"/>
      <c r="E1" s="42"/>
      <c r="F1" s="712" t="s">
        <v>456</v>
      </c>
      <c r="G1" s="712"/>
      <c r="H1" s="712"/>
      <c r="I1" s="712"/>
      <c r="J1" s="712"/>
      <c r="K1" s="712"/>
      <c r="L1" s="712"/>
      <c r="M1" s="43"/>
      <c r="N1" s="713"/>
      <c r="O1" s="713"/>
      <c r="R1" s="44"/>
    </row>
    <row r="2" spans="1:22" ht="15.75" x14ac:dyDescent="0.25">
      <c r="D2" s="42"/>
      <c r="E2" s="42"/>
      <c r="F2" s="714" t="s">
        <v>457</v>
      </c>
      <c r="G2" s="714"/>
      <c r="H2" s="714"/>
      <c r="I2" s="714"/>
      <c r="J2" s="714"/>
      <c r="K2" s="714"/>
      <c r="L2" s="714"/>
      <c r="M2" s="43"/>
      <c r="N2" s="713" t="s">
        <v>458</v>
      </c>
      <c r="O2" s="713"/>
      <c r="R2" s="44"/>
    </row>
    <row r="3" spans="1:22" ht="15.75" thickBot="1" x14ac:dyDescent="0.3">
      <c r="D3" s="42"/>
      <c r="E3" s="42"/>
      <c r="F3" s="715"/>
      <c r="G3" s="715"/>
      <c r="H3" s="715"/>
      <c r="I3" s="715"/>
      <c r="J3" s="715"/>
      <c r="K3" s="715"/>
      <c r="L3" s="715"/>
      <c r="M3" s="43"/>
      <c r="N3" s="713"/>
      <c r="O3" s="713"/>
      <c r="R3" s="44"/>
    </row>
    <row r="4" spans="1:22" s="46" customFormat="1" ht="16.5" thickBot="1" x14ac:dyDescent="0.3">
      <c r="A4" s="703" t="s">
        <v>459</v>
      </c>
      <c r="B4" s="703" t="s">
        <v>460</v>
      </c>
      <c r="C4" s="703" t="s">
        <v>461</v>
      </c>
      <c r="D4" s="706" t="s">
        <v>462</v>
      </c>
      <c r="E4" s="703" t="s">
        <v>463</v>
      </c>
      <c r="F4" s="709" t="s">
        <v>464</v>
      </c>
      <c r="G4" s="710"/>
      <c r="H4" s="710"/>
      <c r="I4" s="710"/>
      <c r="J4" s="710"/>
      <c r="K4" s="710"/>
      <c r="L4" s="711"/>
      <c r="M4" s="703" t="s">
        <v>465</v>
      </c>
      <c r="N4" s="709" t="s">
        <v>466</v>
      </c>
      <c r="O4" s="711"/>
      <c r="P4" s="709" t="s">
        <v>467</v>
      </c>
      <c r="Q4" s="710"/>
      <c r="R4" s="723" t="s">
        <v>468</v>
      </c>
      <c r="S4" s="716" t="s">
        <v>469</v>
      </c>
      <c r="T4" s="716" t="s">
        <v>470</v>
      </c>
      <c r="U4" s="716" t="s">
        <v>471</v>
      </c>
      <c r="V4" s="716" t="s">
        <v>472</v>
      </c>
    </row>
    <row r="5" spans="1:22" s="46" customFormat="1" ht="16.5" thickBot="1" x14ac:dyDescent="0.3">
      <c r="A5" s="704"/>
      <c r="B5" s="704"/>
      <c r="C5" s="704"/>
      <c r="D5" s="707"/>
      <c r="E5" s="707"/>
      <c r="F5" s="703" t="s">
        <v>473</v>
      </c>
      <c r="G5" s="719" t="s">
        <v>474</v>
      </c>
      <c r="H5" s="703" t="s">
        <v>463</v>
      </c>
      <c r="I5" s="721" t="s">
        <v>473</v>
      </c>
      <c r="J5" s="709" t="s">
        <v>475</v>
      </c>
      <c r="K5" s="710"/>
      <c r="L5" s="703" t="s">
        <v>476</v>
      </c>
      <c r="M5" s="722"/>
      <c r="N5" s="703" t="s">
        <v>477</v>
      </c>
      <c r="O5" s="719" t="s">
        <v>478</v>
      </c>
      <c r="P5" s="703" t="s">
        <v>479</v>
      </c>
      <c r="Q5" s="719" t="s">
        <v>480</v>
      </c>
      <c r="R5" s="724"/>
      <c r="S5" s="717"/>
      <c r="T5" s="717"/>
      <c r="U5" s="717"/>
      <c r="V5" s="717"/>
    </row>
    <row r="6" spans="1:22" s="46" customFormat="1" ht="73.5" customHeight="1" thickBot="1" x14ac:dyDescent="0.3">
      <c r="A6" s="705"/>
      <c r="B6" s="705"/>
      <c r="C6" s="705"/>
      <c r="D6" s="708"/>
      <c r="E6" s="708"/>
      <c r="F6" s="705"/>
      <c r="G6" s="720"/>
      <c r="H6" s="705"/>
      <c r="I6" s="720"/>
      <c r="J6" s="47" t="s">
        <v>481</v>
      </c>
      <c r="K6" s="48" t="s">
        <v>482</v>
      </c>
      <c r="L6" s="705"/>
      <c r="M6" s="720"/>
      <c r="N6" s="705"/>
      <c r="O6" s="720"/>
      <c r="P6" s="705"/>
      <c r="Q6" s="720"/>
      <c r="R6" s="725"/>
      <c r="S6" s="718"/>
      <c r="T6" s="718"/>
      <c r="U6" s="718"/>
      <c r="V6" s="718"/>
    </row>
    <row r="7" spans="1:22" s="46" customFormat="1" ht="16.5" thickBot="1" x14ac:dyDescent="0.3">
      <c r="A7" s="47">
        <v>1</v>
      </c>
      <c r="B7" s="47">
        <v>2</v>
      </c>
      <c r="C7" s="47">
        <v>3</v>
      </c>
      <c r="D7" s="49">
        <v>4</v>
      </c>
      <c r="E7" s="49">
        <v>5</v>
      </c>
      <c r="F7" s="47">
        <v>6</v>
      </c>
      <c r="G7" s="48">
        <v>7</v>
      </c>
      <c r="H7" s="47">
        <v>8</v>
      </c>
      <c r="I7" s="48">
        <v>9</v>
      </c>
      <c r="J7" s="47">
        <v>10</v>
      </c>
      <c r="K7" s="48">
        <v>11</v>
      </c>
      <c r="L7" s="47">
        <v>12</v>
      </c>
      <c r="M7" s="48">
        <v>13</v>
      </c>
      <c r="N7" s="47">
        <v>14</v>
      </c>
      <c r="O7" s="48">
        <v>15</v>
      </c>
      <c r="P7" s="47">
        <v>16</v>
      </c>
      <c r="Q7" s="48">
        <v>17</v>
      </c>
      <c r="R7" s="50">
        <v>18</v>
      </c>
      <c r="S7" s="51">
        <v>19</v>
      </c>
      <c r="T7" s="51">
        <v>20</v>
      </c>
      <c r="U7" s="51">
        <v>21</v>
      </c>
      <c r="V7" s="52">
        <v>22</v>
      </c>
    </row>
    <row r="8" spans="1:22" s="46" customFormat="1" ht="18" customHeight="1" thickBot="1" x14ac:dyDescent="0.3">
      <c r="A8" s="742" t="s">
        <v>483</v>
      </c>
      <c r="B8" s="716" t="s">
        <v>484</v>
      </c>
      <c r="C8" s="53" t="s">
        <v>485</v>
      </c>
      <c r="D8" s="54"/>
      <c r="E8" s="47"/>
      <c r="F8" s="47"/>
      <c r="G8" s="48"/>
      <c r="H8" s="47"/>
      <c r="I8" s="55" t="s">
        <v>341</v>
      </c>
      <c r="J8" s="56">
        <v>63</v>
      </c>
      <c r="K8" s="55"/>
      <c r="L8" s="57"/>
      <c r="M8" s="58" t="s">
        <v>486</v>
      </c>
      <c r="N8" s="56">
        <v>0</v>
      </c>
      <c r="O8" s="55">
        <v>1</v>
      </c>
      <c r="P8" s="56" t="s">
        <v>487</v>
      </c>
      <c r="Q8" s="59"/>
      <c r="R8" s="53" t="s">
        <v>488</v>
      </c>
      <c r="S8" s="60">
        <f>ROUND(N8/3,0)</f>
        <v>0</v>
      </c>
      <c r="T8" s="60">
        <f>ROUND(S8/3,0)</f>
        <v>0</v>
      </c>
      <c r="U8" s="61">
        <v>1</v>
      </c>
      <c r="V8" s="62">
        <v>1</v>
      </c>
    </row>
    <row r="9" spans="1:22" s="46" customFormat="1" ht="18" customHeight="1" x14ac:dyDescent="0.25">
      <c r="A9" s="743"/>
      <c r="B9" s="717"/>
      <c r="C9" s="745" t="s">
        <v>489</v>
      </c>
      <c r="D9" s="63"/>
      <c r="E9" s="64"/>
      <c r="F9" s="65"/>
      <c r="G9" s="64"/>
      <c r="H9" s="66"/>
      <c r="I9" s="67" t="s">
        <v>294</v>
      </c>
      <c r="J9" s="68">
        <v>40</v>
      </c>
      <c r="K9" s="67">
        <v>400</v>
      </c>
      <c r="L9" s="69"/>
      <c r="M9" s="70" t="s">
        <v>486</v>
      </c>
      <c r="N9" s="68">
        <v>0</v>
      </c>
      <c r="O9" s="67">
        <v>2</v>
      </c>
      <c r="P9" s="68" t="s">
        <v>487</v>
      </c>
      <c r="Q9" s="70"/>
      <c r="R9" s="71" t="s">
        <v>488</v>
      </c>
      <c r="S9" s="72">
        <f>ROUND(N9/3,0)</f>
        <v>0</v>
      </c>
      <c r="T9" s="72">
        <f>ROUND(S9/3,0)</f>
        <v>0</v>
      </c>
      <c r="U9" s="73">
        <v>2</v>
      </c>
      <c r="V9" s="74">
        <v>2</v>
      </c>
    </row>
    <row r="10" spans="1:22" s="46" customFormat="1" ht="18" customHeight="1" x14ac:dyDescent="0.25">
      <c r="A10" s="743"/>
      <c r="B10" s="717"/>
      <c r="C10" s="746"/>
      <c r="D10" s="75"/>
      <c r="E10" s="76"/>
      <c r="F10" s="77"/>
      <c r="G10" s="76"/>
      <c r="H10" s="78"/>
      <c r="I10" s="79" t="s">
        <v>394</v>
      </c>
      <c r="J10" s="80">
        <v>160</v>
      </c>
      <c r="K10" s="81"/>
      <c r="L10" s="82"/>
      <c r="M10" s="83" t="s">
        <v>486</v>
      </c>
      <c r="N10" s="80">
        <v>81</v>
      </c>
      <c r="O10" s="79">
        <v>1</v>
      </c>
      <c r="P10" s="80" t="s">
        <v>487</v>
      </c>
      <c r="Q10" s="84"/>
      <c r="R10" s="85" t="s">
        <v>488</v>
      </c>
      <c r="S10" s="72">
        <f>ROUND(N10/3,0)</f>
        <v>27</v>
      </c>
      <c r="T10" s="72">
        <f t="shared" ref="T10:T73" si="0">ROUND(S10/3,0)</f>
        <v>9</v>
      </c>
      <c r="U10" s="72">
        <f t="shared" ref="U10:U73" si="1">ROUND(O10/3,0)</f>
        <v>0</v>
      </c>
      <c r="V10" s="86">
        <f t="shared" ref="V10:V69" si="2">ROUND(U10/3,0)</f>
        <v>0</v>
      </c>
    </row>
    <row r="11" spans="1:22" s="46" customFormat="1" ht="18" customHeight="1" x14ac:dyDescent="0.25">
      <c r="A11" s="743"/>
      <c r="B11" s="717"/>
      <c r="C11" s="746"/>
      <c r="D11" s="75"/>
      <c r="E11" s="76"/>
      <c r="F11" s="77"/>
      <c r="G11" s="76"/>
      <c r="H11" s="78"/>
      <c r="I11" s="79" t="s">
        <v>348</v>
      </c>
      <c r="J11" s="80">
        <v>100</v>
      </c>
      <c r="K11" s="81"/>
      <c r="L11" s="82"/>
      <c r="M11" s="83" t="s">
        <v>486</v>
      </c>
      <c r="N11" s="80">
        <v>0</v>
      </c>
      <c r="O11" s="79">
        <v>3</v>
      </c>
      <c r="P11" s="80" t="s">
        <v>487</v>
      </c>
      <c r="Q11" s="87"/>
      <c r="R11" s="85" t="s">
        <v>488</v>
      </c>
      <c r="S11" s="72">
        <f t="shared" ref="S11:S19" si="3">ROUND(N11/3,0)</f>
        <v>0</v>
      </c>
      <c r="T11" s="72">
        <f t="shared" si="0"/>
        <v>0</v>
      </c>
      <c r="U11" s="73">
        <v>3</v>
      </c>
      <c r="V11" s="74">
        <v>3</v>
      </c>
    </row>
    <row r="12" spans="1:22" s="46" customFormat="1" ht="18" customHeight="1" x14ac:dyDescent="0.25">
      <c r="A12" s="743"/>
      <c r="B12" s="717"/>
      <c r="C12" s="746"/>
      <c r="D12" s="75"/>
      <c r="E12" s="76"/>
      <c r="F12" s="77"/>
      <c r="G12" s="76"/>
      <c r="H12" s="78"/>
      <c r="I12" s="79" t="s">
        <v>415</v>
      </c>
      <c r="J12" s="80">
        <v>160</v>
      </c>
      <c r="K12" s="81"/>
      <c r="L12" s="82"/>
      <c r="M12" s="83" t="s">
        <v>486</v>
      </c>
      <c r="N12" s="80">
        <v>140</v>
      </c>
      <c r="O12" s="79">
        <v>7</v>
      </c>
      <c r="P12" s="80" t="s">
        <v>487</v>
      </c>
      <c r="Q12" s="84"/>
      <c r="R12" s="85" t="s">
        <v>488</v>
      </c>
      <c r="S12" s="72">
        <f t="shared" si="3"/>
        <v>47</v>
      </c>
      <c r="T12" s="72">
        <f t="shared" si="0"/>
        <v>16</v>
      </c>
      <c r="U12" s="72">
        <f t="shared" si="1"/>
        <v>2</v>
      </c>
      <c r="V12" s="86">
        <f t="shared" si="2"/>
        <v>1</v>
      </c>
    </row>
    <row r="13" spans="1:22" s="46" customFormat="1" ht="18" customHeight="1" x14ac:dyDescent="0.25">
      <c r="A13" s="743"/>
      <c r="B13" s="717"/>
      <c r="C13" s="746"/>
      <c r="D13" s="75"/>
      <c r="E13" s="76"/>
      <c r="F13" s="77"/>
      <c r="G13" s="76"/>
      <c r="H13" s="78" t="s">
        <v>490</v>
      </c>
      <c r="I13" s="88" t="s">
        <v>491</v>
      </c>
      <c r="J13" s="89">
        <v>100</v>
      </c>
      <c r="K13" s="90"/>
      <c r="L13" s="91"/>
      <c r="M13" s="92" t="s">
        <v>486</v>
      </c>
      <c r="N13" s="93"/>
      <c r="O13" s="94"/>
      <c r="P13" s="89" t="s">
        <v>487</v>
      </c>
      <c r="Q13" s="88" t="s">
        <v>492</v>
      </c>
      <c r="R13" s="95" t="s">
        <v>493</v>
      </c>
      <c r="S13" s="72">
        <f t="shared" si="3"/>
        <v>0</v>
      </c>
      <c r="T13" s="72">
        <f t="shared" si="0"/>
        <v>0</v>
      </c>
      <c r="U13" s="96">
        <v>0</v>
      </c>
      <c r="V13" s="97">
        <v>0</v>
      </c>
    </row>
    <row r="14" spans="1:22" s="46" customFormat="1" ht="18" customHeight="1" x14ac:dyDescent="0.25">
      <c r="A14" s="743"/>
      <c r="B14" s="717"/>
      <c r="C14" s="746"/>
      <c r="D14" s="75"/>
      <c r="E14" s="76"/>
      <c r="F14" s="77"/>
      <c r="G14" s="76"/>
      <c r="H14" s="78"/>
      <c r="I14" s="79" t="s">
        <v>284</v>
      </c>
      <c r="J14" s="80">
        <v>100</v>
      </c>
      <c r="K14" s="81"/>
      <c r="L14" s="82"/>
      <c r="M14" s="83" t="s">
        <v>486</v>
      </c>
      <c r="N14" s="80">
        <v>77</v>
      </c>
      <c r="O14" s="79">
        <v>4</v>
      </c>
      <c r="P14" s="80" t="s">
        <v>494</v>
      </c>
      <c r="Q14" s="84"/>
      <c r="R14" s="85" t="s">
        <v>488</v>
      </c>
      <c r="S14" s="72">
        <f t="shared" si="3"/>
        <v>26</v>
      </c>
      <c r="T14" s="72">
        <f t="shared" si="0"/>
        <v>9</v>
      </c>
      <c r="U14" s="72">
        <f t="shared" si="1"/>
        <v>1</v>
      </c>
      <c r="V14" s="86">
        <f t="shared" si="2"/>
        <v>0</v>
      </c>
    </row>
    <row r="15" spans="1:22" s="46" customFormat="1" ht="18" customHeight="1" x14ac:dyDescent="0.25">
      <c r="A15" s="743"/>
      <c r="B15" s="717"/>
      <c r="C15" s="746"/>
      <c r="D15" s="75"/>
      <c r="E15" s="76"/>
      <c r="F15" s="77"/>
      <c r="G15" s="76"/>
      <c r="H15" s="78"/>
      <c r="I15" s="79" t="s">
        <v>495</v>
      </c>
      <c r="J15" s="80">
        <v>100</v>
      </c>
      <c r="K15" s="81"/>
      <c r="L15" s="82"/>
      <c r="M15" s="83" t="s">
        <v>486</v>
      </c>
      <c r="N15" s="80">
        <v>40</v>
      </c>
      <c r="O15" s="79">
        <v>0</v>
      </c>
      <c r="P15" s="80" t="s">
        <v>494</v>
      </c>
      <c r="Q15" s="87"/>
      <c r="R15" s="85" t="s">
        <v>488</v>
      </c>
      <c r="S15" s="72">
        <f t="shared" si="3"/>
        <v>13</v>
      </c>
      <c r="T15" s="72">
        <f t="shared" si="0"/>
        <v>4</v>
      </c>
      <c r="U15" s="72">
        <f t="shared" si="1"/>
        <v>0</v>
      </c>
      <c r="V15" s="86">
        <f t="shared" si="2"/>
        <v>0</v>
      </c>
    </row>
    <row r="16" spans="1:22" s="46" customFormat="1" ht="18" customHeight="1" x14ac:dyDescent="0.25">
      <c r="A16" s="743"/>
      <c r="B16" s="717"/>
      <c r="C16" s="746"/>
      <c r="D16" s="75"/>
      <c r="E16" s="98"/>
      <c r="F16" s="99"/>
      <c r="G16" s="98"/>
      <c r="H16" s="100"/>
      <c r="I16" s="101" t="s">
        <v>392</v>
      </c>
      <c r="J16" s="102">
        <v>160</v>
      </c>
      <c r="K16" s="103"/>
      <c r="L16" s="104"/>
      <c r="M16" s="105" t="s">
        <v>486</v>
      </c>
      <c r="N16" s="102">
        <v>0</v>
      </c>
      <c r="O16" s="101">
        <v>2</v>
      </c>
      <c r="P16" s="106" t="s">
        <v>487</v>
      </c>
      <c r="Q16" s="107" t="s">
        <v>496</v>
      </c>
      <c r="R16" s="108" t="s">
        <v>497</v>
      </c>
      <c r="S16" s="72">
        <f t="shared" si="3"/>
        <v>0</v>
      </c>
      <c r="T16" s="72">
        <f t="shared" si="0"/>
        <v>0</v>
      </c>
      <c r="U16" s="95">
        <v>2</v>
      </c>
      <c r="V16" s="89">
        <v>2</v>
      </c>
    </row>
    <row r="17" spans="1:22" s="46" customFormat="1" ht="31.5" customHeight="1" thickBot="1" x14ac:dyDescent="0.3">
      <c r="A17" s="743"/>
      <c r="B17" s="717"/>
      <c r="C17" s="746"/>
      <c r="D17" s="75"/>
      <c r="E17" s="98"/>
      <c r="F17" s="99"/>
      <c r="G17" s="98"/>
      <c r="H17" s="100"/>
      <c r="I17" s="109" t="s">
        <v>498</v>
      </c>
      <c r="J17" s="110">
        <v>1600</v>
      </c>
      <c r="K17" s="111"/>
      <c r="L17" s="112"/>
      <c r="M17" s="113"/>
      <c r="N17" s="112">
        <v>0</v>
      </c>
      <c r="O17" s="114">
        <v>1</v>
      </c>
      <c r="P17" s="115" t="s">
        <v>439</v>
      </c>
      <c r="Q17" s="107" t="s">
        <v>499</v>
      </c>
      <c r="R17" s="116" t="s">
        <v>500</v>
      </c>
      <c r="S17" s="72">
        <f t="shared" si="3"/>
        <v>0</v>
      </c>
      <c r="T17" s="72">
        <f t="shared" si="0"/>
        <v>0</v>
      </c>
      <c r="U17" s="117">
        <v>1</v>
      </c>
      <c r="V17" s="118">
        <v>1</v>
      </c>
    </row>
    <row r="18" spans="1:22" s="46" customFormat="1" ht="18" customHeight="1" x14ac:dyDescent="0.25">
      <c r="A18" s="743"/>
      <c r="B18" s="717"/>
      <c r="C18" s="746"/>
      <c r="D18" s="75"/>
      <c r="E18" s="98"/>
      <c r="F18" s="99"/>
      <c r="G18" s="98"/>
      <c r="H18" s="100"/>
      <c r="I18" s="119" t="s">
        <v>285</v>
      </c>
      <c r="J18" s="85">
        <v>100</v>
      </c>
      <c r="K18" s="120"/>
      <c r="L18" s="121"/>
      <c r="M18" s="122" t="s">
        <v>486</v>
      </c>
      <c r="N18" s="123">
        <v>151</v>
      </c>
      <c r="O18" s="123">
        <v>5</v>
      </c>
      <c r="P18" s="123" t="s">
        <v>501</v>
      </c>
      <c r="Q18" s="124"/>
      <c r="R18" s="123" t="s">
        <v>488</v>
      </c>
      <c r="S18" s="72">
        <f t="shared" si="3"/>
        <v>50</v>
      </c>
      <c r="T18" s="72">
        <f t="shared" si="0"/>
        <v>17</v>
      </c>
      <c r="U18" s="72">
        <v>1</v>
      </c>
      <c r="V18" s="86">
        <v>1</v>
      </c>
    </row>
    <row r="19" spans="1:22" s="46" customFormat="1" ht="18" customHeight="1" thickBot="1" x14ac:dyDescent="0.3">
      <c r="A19" s="743"/>
      <c r="B19" s="717"/>
      <c r="C19" s="746"/>
      <c r="D19" s="75"/>
      <c r="E19" s="98"/>
      <c r="F19" s="99"/>
      <c r="G19" s="98"/>
      <c r="H19" s="100"/>
      <c r="I19" s="125" t="s">
        <v>502</v>
      </c>
      <c r="J19" s="126">
        <v>63</v>
      </c>
      <c r="K19" s="127"/>
      <c r="L19" s="128"/>
      <c r="M19" s="129" t="s">
        <v>486</v>
      </c>
      <c r="N19" s="126"/>
      <c r="O19" s="125">
        <v>1</v>
      </c>
      <c r="P19" s="126" t="s">
        <v>503</v>
      </c>
      <c r="Q19" s="129"/>
      <c r="R19" s="130" t="s">
        <v>504</v>
      </c>
      <c r="S19" s="72">
        <f t="shared" si="3"/>
        <v>0</v>
      </c>
      <c r="T19" s="72">
        <f t="shared" si="0"/>
        <v>0</v>
      </c>
      <c r="U19" s="131">
        <v>1</v>
      </c>
      <c r="V19" s="132">
        <v>1</v>
      </c>
    </row>
    <row r="20" spans="1:22" s="46" customFormat="1" ht="18" customHeight="1" thickBot="1" x14ac:dyDescent="0.3">
      <c r="A20" s="743"/>
      <c r="B20" s="717"/>
      <c r="C20" s="746"/>
      <c r="D20" s="75"/>
      <c r="E20" s="133"/>
      <c r="F20" s="134"/>
      <c r="G20" s="133"/>
      <c r="H20" s="135"/>
      <c r="I20" s="136" t="s">
        <v>505</v>
      </c>
      <c r="J20" s="137">
        <v>100</v>
      </c>
      <c r="K20" s="138"/>
      <c r="L20" s="139"/>
      <c r="M20" s="140" t="s">
        <v>486</v>
      </c>
      <c r="N20" s="141">
        <v>52</v>
      </c>
      <c r="O20" s="142"/>
      <c r="P20" s="137" t="s">
        <v>506</v>
      </c>
      <c r="Q20" s="143"/>
      <c r="R20" s="144" t="s">
        <v>488</v>
      </c>
      <c r="S20" s="72">
        <f>ROUND(N20/3,0)</f>
        <v>17</v>
      </c>
      <c r="T20" s="72">
        <f t="shared" si="0"/>
        <v>6</v>
      </c>
      <c r="U20" s="72">
        <f t="shared" si="1"/>
        <v>0</v>
      </c>
      <c r="V20" s="86">
        <f t="shared" si="2"/>
        <v>0</v>
      </c>
    </row>
    <row r="21" spans="1:22" s="46" customFormat="1" ht="18" customHeight="1" x14ac:dyDescent="0.25">
      <c r="A21" s="743"/>
      <c r="B21" s="717"/>
      <c r="C21" s="746"/>
      <c r="D21" s="745" t="s">
        <v>507</v>
      </c>
      <c r="E21" s="64"/>
      <c r="F21" s="65"/>
      <c r="G21" s="64"/>
      <c r="H21" s="66"/>
      <c r="I21" s="88" t="s">
        <v>508</v>
      </c>
      <c r="J21" s="89">
        <v>25</v>
      </c>
      <c r="K21" s="90"/>
      <c r="L21" s="91"/>
      <c r="M21" s="92" t="s">
        <v>486</v>
      </c>
      <c r="N21" s="89">
        <v>0</v>
      </c>
      <c r="O21" s="88">
        <v>1</v>
      </c>
      <c r="P21" s="89" t="s">
        <v>439</v>
      </c>
      <c r="Q21" s="145" t="s">
        <v>509</v>
      </c>
      <c r="R21" s="95" t="s">
        <v>449</v>
      </c>
      <c r="S21" s="72">
        <f t="shared" ref="S21:S84" si="4">ROUND(N21/3,0)</f>
        <v>0</v>
      </c>
      <c r="T21" s="72">
        <f t="shared" si="0"/>
        <v>0</v>
      </c>
      <c r="U21" s="95">
        <v>1</v>
      </c>
      <c r="V21" s="89">
        <v>1</v>
      </c>
    </row>
    <row r="22" spans="1:22" s="46" customFormat="1" ht="18" customHeight="1" x14ac:dyDescent="0.25">
      <c r="A22" s="743"/>
      <c r="B22" s="717"/>
      <c r="C22" s="746"/>
      <c r="D22" s="746"/>
      <c r="E22" s="146"/>
      <c r="F22" s="147"/>
      <c r="G22" s="146"/>
      <c r="H22" s="148"/>
      <c r="I22" s="88" t="s">
        <v>510</v>
      </c>
      <c r="J22" s="89">
        <v>50</v>
      </c>
      <c r="K22" s="90"/>
      <c r="L22" s="91"/>
      <c r="M22" s="92" t="s">
        <v>486</v>
      </c>
      <c r="N22" s="89">
        <v>0</v>
      </c>
      <c r="O22" s="88">
        <v>1</v>
      </c>
      <c r="P22" s="89" t="s">
        <v>439</v>
      </c>
      <c r="Q22" s="145" t="s">
        <v>511</v>
      </c>
      <c r="R22" s="95" t="s">
        <v>512</v>
      </c>
      <c r="S22" s="72">
        <f t="shared" si="4"/>
        <v>0</v>
      </c>
      <c r="T22" s="72">
        <f t="shared" si="0"/>
        <v>0</v>
      </c>
      <c r="U22" s="95">
        <v>1</v>
      </c>
      <c r="V22" s="89">
        <v>1</v>
      </c>
    </row>
    <row r="23" spans="1:22" s="46" customFormat="1" ht="18" customHeight="1" x14ac:dyDescent="0.25">
      <c r="A23" s="743"/>
      <c r="B23" s="717"/>
      <c r="C23" s="746"/>
      <c r="D23" s="746"/>
      <c r="E23" s="146"/>
      <c r="F23" s="147"/>
      <c r="G23" s="146"/>
      <c r="H23" s="148"/>
      <c r="I23" s="149" t="s">
        <v>286</v>
      </c>
      <c r="J23" s="150">
        <v>100</v>
      </c>
      <c r="K23" s="151"/>
      <c r="L23" s="152"/>
      <c r="M23" s="83" t="s">
        <v>486</v>
      </c>
      <c r="N23" s="150">
        <v>151</v>
      </c>
      <c r="O23" s="149">
        <v>5</v>
      </c>
      <c r="P23" s="150" t="s">
        <v>501</v>
      </c>
      <c r="Q23" s="83"/>
      <c r="R23" s="123" t="s">
        <v>488</v>
      </c>
      <c r="S23" s="72">
        <f t="shared" si="4"/>
        <v>50</v>
      </c>
      <c r="T23" s="72">
        <f t="shared" si="0"/>
        <v>17</v>
      </c>
      <c r="U23" s="72">
        <f t="shared" si="1"/>
        <v>2</v>
      </c>
      <c r="V23" s="86">
        <f t="shared" si="2"/>
        <v>1</v>
      </c>
    </row>
    <row r="24" spans="1:22" s="46" customFormat="1" ht="18" customHeight="1" x14ac:dyDescent="0.25">
      <c r="A24" s="743"/>
      <c r="B24" s="717"/>
      <c r="C24" s="746"/>
      <c r="D24" s="746"/>
      <c r="E24" s="146"/>
      <c r="F24" s="147"/>
      <c r="G24" s="146"/>
      <c r="H24" s="148"/>
      <c r="I24" s="79" t="s">
        <v>513</v>
      </c>
      <c r="J24" s="80">
        <v>100</v>
      </c>
      <c r="K24" s="81"/>
      <c r="L24" s="82"/>
      <c r="M24" s="83" t="s">
        <v>486</v>
      </c>
      <c r="N24" s="80">
        <v>99</v>
      </c>
      <c r="O24" s="79">
        <v>5</v>
      </c>
      <c r="P24" s="80" t="s">
        <v>514</v>
      </c>
      <c r="Q24" s="83"/>
      <c r="R24" s="85" t="s">
        <v>488</v>
      </c>
      <c r="S24" s="72">
        <f t="shared" si="4"/>
        <v>33</v>
      </c>
      <c r="T24" s="72">
        <f t="shared" si="0"/>
        <v>11</v>
      </c>
      <c r="U24" s="72">
        <f t="shared" si="1"/>
        <v>2</v>
      </c>
      <c r="V24" s="86">
        <f t="shared" si="2"/>
        <v>1</v>
      </c>
    </row>
    <row r="25" spans="1:22" s="46" customFormat="1" ht="18" customHeight="1" x14ac:dyDescent="0.25">
      <c r="A25" s="743"/>
      <c r="B25" s="717"/>
      <c r="C25" s="746"/>
      <c r="D25" s="746"/>
      <c r="E25" s="146"/>
      <c r="F25" s="147"/>
      <c r="G25" s="146"/>
      <c r="H25" s="148"/>
      <c r="I25" s="79" t="s">
        <v>515</v>
      </c>
      <c r="J25" s="80">
        <v>100</v>
      </c>
      <c r="K25" s="81"/>
      <c r="L25" s="82"/>
      <c r="M25" s="83" t="s">
        <v>486</v>
      </c>
      <c r="N25" s="80">
        <v>32</v>
      </c>
      <c r="O25" s="79">
        <v>0</v>
      </c>
      <c r="P25" s="80" t="s">
        <v>514</v>
      </c>
      <c r="Q25" s="87"/>
      <c r="R25" s="85" t="s">
        <v>488</v>
      </c>
      <c r="S25" s="72">
        <f t="shared" si="4"/>
        <v>11</v>
      </c>
      <c r="T25" s="72">
        <f t="shared" si="0"/>
        <v>4</v>
      </c>
      <c r="U25" s="72">
        <f t="shared" si="1"/>
        <v>0</v>
      </c>
      <c r="V25" s="86">
        <f t="shared" si="2"/>
        <v>0</v>
      </c>
    </row>
    <row r="26" spans="1:22" s="46" customFormat="1" ht="18" customHeight="1" x14ac:dyDescent="0.25">
      <c r="A26" s="743"/>
      <c r="B26" s="717"/>
      <c r="C26" s="746"/>
      <c r="D26" s="747"/>
      <c r="E26" s="76"/>
      <c r="F26" s="153"/>
      <c r="G26" s="76"/>
      <c r="H26" s="78"/>
      <c r="I26" s="79" t="s">
        <v>516</v>
      </c>
      <c r="J26" s="80">
        <v>63</v>
      </c>
      <c r="K26" s="81"/>
      <c r="L26" s="82"/>
      <c r="M26" s="83" t="s">
        <v>486</v>
      </c>
      <c r="N26" s="80">
        <v>39</v>
      </c>
      <c r="O26" s="79">
        <v>1</v>
      </c>
      <c r="P26" s="80" t="s">
        <v>517</v>
      </c>
      <c r="Q26" s="83"/>
      <c r="R26" s="85" t="s">
        <v>488</v>
      </c>
      <c r="S26" s="72">
        <f t="shared" si="4"/>
        <v>13</v>
      </c>
      <c r="T26" s="72">
        <f t="shared" si="0"/>
        <v>4</v>
      </c>
      <c r="U26" s="72">
        <f t="shared" si="1"/>
        <v>0</v>
      </c>
      <c r="V26" s="86">
        <f t="shared" si="2"/>
        <v>0</v>
      </c>
    </row>
    <row r="27" spans="1:22" s="46" customFormat="1" ht="18" customHeight="1" x14ac:dyDescent="0.25">
      <c r="A27" s="743"/>
      <c r="B27" s="717"/>
      <c r="C27" s="746"/>
      <c r="D27" s="747"/>
      <c r="E27" s="76"/>
      <c r="F27" s="77"/>
      <c r="G27" s="76"/>
      <c r="H27" s="78"/>
      <c r="I27" s="79" t="s">
        <v>361</v>
      </c>
      <c r="J27" s="80">
        <v>100</v>
      </c>
      <c r="K27" s="81"/>
      <c r="L27" s="82"/>
      <c r="M27" s="83" t="s">
        <v>486</v>
      </c>
      <c r="N27" s="80">
        <v>50</v>
      </c>
      <c r="O27" s="79">
        <v>6</v>
      </c>
      <c r="P27" s="80" t="s">
        <v>439</v>
      </c>
      <c r="Q27" s="154"/>
      <c r="R27" s="85" t="s">
        <v>488</v>
      </c>
      <c r="S27" s="72">
        <f t="shared" si="4"/>
        <v>17</v>
      </c>
      <c r="T27" s="72">
        <f t="shared" si="0"/>
        <v>6</v>
      </c>
      <c r="U27" s="72">
        <f t="shared" si="1"/>
        <v>2</v>
      </c>
      <c r="V27" s="86">
        <f t="shared" si="2"/>
        <v>1</v>
      </c>
    </row>
    <row r="28" spans="1:22" s="46" customFormat="1" ht="18" customHeight="1" x14ac:dyDescent="0.25">
      <c r="A28" s="743"/>
      <c r="B28" s="717"/>
      <c r="C28" s="746"/>
      <c r="D28" s="747"/>
      <c r="E28" s="76"/>
      <c r="F28" s="77"/>
      <c r="G28" s="76"/>
      <c r="H28" s="78"/>
      <c r="I28" s="79" t="s">
        <v>289</v>
      </c>
      <c r="J28" s="80">
        <v>63</v>
      </c>
      <c r="K28" s="81"/>
      <c r="L28" s="82"/>
      <c r="M28" s="83" t="s">
        <v>486</v>
      </c>
      <c r="N28" s="80">
        <v>43</v>
      </c>
      <c r="O28" s="79">
        <v>2</v>
      </c>
      <c r="P28" s="80" t="s">
        <v>518</v>
      </c>
      <c r="Q28" s="87"/>
      <c r="R28" s="85" t="s">
        <v>488</v>
      </c>
      <c r="S28" s="72">
        <f t="shared" si="4"/>
        <v>14</v>
      </c>
      <c r="T28" s="72">
        <f t="shared" si="0"/>
        <v>5</v>
      </c>
      <c r="U28" s="72">
        <f t="shared" si="1"/>
        <v>1</v>
      </c>
      <c r="V28" s="86">
        <f t="shared" si="2"/>
        <v>0</v>
      </c>
    </row>
    <row r="29" spans="1:22" s="46" customFormat="1" ht="18" customHeight="1" x14ac:dyDescent="0.25">
      <c r="A29" s="743"/>
      <c r="B29" s="717"/>
      <c r="C29" s="746"/>
      <c r="D29" s="747"/>
      <c r="E29" s="76"/>
      <c r="F29" s="77"/>
      <c r="G29" s="146"/>
      <c r="H29" s="78"/>
      <c r="I29" s="79" t="s">
        <v>420</v>
      </c>
      <c r="J29" s="80">
        <v>40</v>
      </c>
      <c r="K29" s="81"/>
      <c r="L29" s="82"/>
      <c r="M29" s="83" t="s">
        <v>486</v>
      </c>
      <c r="N29" s="80">
        <v>47</v>
      </c>
      <c r="O29" s="79">
        <v>4</v>
      </c>
      <c r="P29" s="80" t="s">
        <v>439</v>
      </c>
      <c r="Q29" s="87"/>
      <c r="R29" s="85" t="s">
        <v>488</v>
      </c>
      <c r="S29" s="72">
        <f t="shared" si="4"/>
        <v>16</v>
      </c>
      <c r="T29" s="72">
        <f t="shared" si="0"/>
        <v>5</v>
      </c>
      <c r="U29" s="72">
        <f t="shared" si="1"/>
        <v>1</v>
      </c>
      <c r="V29" s="86">
        <f t="shared" si="2"/>
        <v>0</v>
      </c>
    </row>
    <row r="30" spans="1:22" s="46" customFormat="1" ht="18" customHeight="1" thickBot="1" x14ac:dyDescent="0.3">
      <c r="A30" s="743"/>
      <c r="B30" s="717"/>
      <c r="C30" s="746"/>
      <c r="D30" s="747"/>
      <c r="E30" s="76"/>
      <c r="F30" s="77"/>
      <c r="G30" s="76"/>
      <c r="H30" s="100"/>
      <c r="I30" s="155" t="s">
        <v>438</v>
      </c>
      <c r="J30" s="156">
        <v>250</v>
      </c>
      <c r="K30" s="157"/>
      <c r="L30" s="158"/>
      <c r="M30" s="159" t="s">
        <v>486</v>
      </c>
      <c r="N30" s="156">
        <v>0</v>
      </c>
      <c r="O30" s="155">
        <v>1</v>
      </c>
      <c r="P30" s="156" t="s">
        <v>503</v>
      </c>
      <c r="Q30" s="160"/>
      <c r="R30" s="161" t="s">
        <v>519</v>
      </c>
      <c r="S30" s="72">
        <f t="shared" si="4"/>
        <v>0</v>
      </c>
      <c r="T30" s="72">
        <f t="shared" si="0"/>
        <v>0</v>
      </c>
      <c r="U30" s="162">
        <v>1</v>
      </c>
      <c r="V30" s="163">
        <v>1</v>
      </c>
    </row>
    <row r="31" spans="1:22" s="46" customFormat="1" ht="18" customHeight="1" thickBot="1" x14ac:dyDescent="0.3">
      <c r="A31" s="743"/>
      <c r="B31" s="717"/>
      <c r="C31" s="746"/>
      <c r="D31" s="747"/>
      <c r="E31" s="76"/>
      <c r="F31" s="77"/>
      <c r="G31" s="76"/>
      <c r="H31" s="736" t="s">
        <v>520</v>
      </c>
      <c r="I31" s="164" t="s">
        <v>521</v>
      </c>
      <c r="J31" s="165">
        <v>25</v>
      </c>
      <c r="K31" s="166"/>
      <c r="L31" s="167"/>
      <c r="M31" s="168" t="s">
        <v>486</v>
      </c>
      <c r="N31" s="165">
        <v>0</v>
      </c>
      <c r="O31" s="164">
        <v>1</v>
      </c>
      <c r="P31" s="165" t="s">
        <v>503</v>
      </c>
      <c r="Q31" s="169"/>
      <c r="R31" s="170"/>
      <c r="S31" s="72">
        <f t="shared" si="4"/>
        <v>0</v>
      </c>
      <c r="T31" s="72">
        <f t="shared" si="0"/>
        <v>0</v>
      </c>
      <c r="U31" s="171">
        <v>1</v>
      </c>
      <c r="V31" s="165">
        <v>1</v>
      </c>
    </row>
    <row r="32" spans="1:22" s="46" customFormat="1" ht="18" customHeight="1" thickBot="1" x14ac:dyDescent="0.3">
      <c r="A32" s="743"/>
      <c r="B32" s="717"/>
      <c r="C32" s="746"/>
      <c r="D32" s="747"/>
      <c r="E32" s="76"/>
      <c r="F32" s="77"/>
      <c r="G32" s="76"/>
      <c r="H32" s="737"/>
      <c r="I32" s="164" t="s">
        <v>522</v>
      </c>
      <c r="J32" s="172">
        <v>25</v>
      </c>
      <c r="K32" s="173"/>
      <c r="L32" s="174"/>
      <c r="M32" s="168" t="s">
        <v>486</v>
      </c>
      <c r="N32" s="172">
        <v>0</v>
      </c>
      <c r="O32" s="175">
        <v>1</v>
      </c>
      <c r="P32" s="172" t="s">
        <v>503</v>
      </c>
      <c r="Q32" s="176" t="s">
        <v>523</v>
      </c>
      <c r="R32" s="177" t="s">
        <v>524</v>
      </c>
      <c r="S32" s="72">
        <f t="shared" si="4"/>
        <v>0</v>
      </c>
      <c r="T32" s="72">
        <f t="shared" si="0"/>
        <v>0</v>
      </c>
      <c r="U32" s="171">
        <v>1</v>
      </c>
      <c r="V32" s="165">
        <v>1</v>
      </c>
    </row>
    <row r="33" spans="1:22" s="46" customFormat="1" ht="18" customHeight="1" x14ac:dyDescent="0.25">
      <c r="A33" s="743"/>
      <c r="B33" s="717"/>
      <c r="C33" s="746"/>
      <c r="D33" s="747"/>
      <c r="E33" s="76"/>
      <c r="F33" s="77"/>
      <c r="G33" s="76"/>
      <c r="H33" s="737"/>
      <c r="I33" s="67" t="s">
        <v>346</v>
      </c>
      <c r="J33" s="68">
        <v>160</v>
      </c>
      <c r="K33" s="178"/>
      <c r="L33" s="69"/>
      <c r="M33" s="70" t="s">
        <v>486</v>
      </c>
      <c r="N33" s="68">
        <v>64</v>
      </c>
      <c r="O33" s="67">
        <v>0</v>
      </c>
      <c r="P33" s="68" t="s">
        <v>503</v>
      </c>
      <c r="Q33" s="70"/>
      <c r="R33" s="71" t="s">
        <v>488</v>
      </c>
      <c r="S33" s="72">
        <f t="shared" si="4"/>
        <v>21</v>
      </c>
      <c r="T33" s="72">
        <f t="shared" si="0"/>
        <v>7</v>
      </c>
      <c r="U33" s="72">
        <f t="shared" si="1"/>
        <v>0</v>
      </c>
      <c r="V33" s="86">
        <f t="shared" si="2"/>
        <v>0</v>
      </c>
    </row>
    <row r="34" spans="1:22" s="46" customFormat="1" ht="18" customHeight="1" x14ac:dyDescent="0.25">
      <c r="A34" s="743"/>
      <c r="B34" s="717"/>
      <c r="C34" s="746"/>
      <c r="D34" s="747"/>
      <c r="E34" s="76"/>
      <c r="F34" s="77"/>
      <c r="G34" s="76"/>
      <c r="H34" s="737"/>
      <c r="I34" s="79" t="s">
        <v>425</v>
      </c>
      <c r="J34" s="80">
        <v>50</v>
      </c>
      <c r="K34" s="81"/>
      <c r="L34" s="82"/>
      <c r="M34" s="83" t="s">
        <v>486</v>
      </c>
      <c r="N34" s="80">
        <v>56</v>
      </c>
      <c r="O34" s="79">
        <v>1</v>
      </c>
      <c r="P34" s="80" t="s">
        <v>503</v>
      </c>
      <c r="Q34" s="154" t="s">
        <v>525</v>
      </c>
      <c r="R34" s="85" t="s">
        <v>488</v>
      </c>
      <c r="S34" s="72">
        <f t="shared" si="4"/>
        <v>19</v>
      </c>
      <c r="T34" s="72">
        <f t="shared" si="0"/>
        <v>6</v>
      </c>
      <c r="U34" s="72">
        <f t="shared" si="1"/>
        <v>0</v>
      </c>
      <c r="V34" s="86">
        <f t="shared" si="2"/>
        <v>0</v>
      </c>
    </row>
    <row r="35" spans="1:22" s="46" customFormat="1" ht="18" customHeight="1" x14ac:dyDescent="0.25">
      <c r="A35" s="743"/>
      <c r="B35" s="717"/>
      <c r="C35" s="746"/>
      <c r="D35" s="747"/>
      <c r="E35" s="76"/>
      <c r="F35" s="77"/>
      <c r="G35" s="76"/>
      <c r="H35" s="737"/>
      <c r="I35" s="79" t="s">
        <v>288</v>
      </c>
      <c r="J35" s="80">
        <v>160</v>
      </c>
      <c r="K35" s="81"/>
      <c r="L35" s="82"/>
      <c r="M35" s="83" t="s">
        <v>486</v>
      </c>
      <c r="N35" s="80">
        <v>119</v>
      </c>
      <c r="O35" s="79">
        <v>8</v>
      </c>
      <c r="P35" s="80" t="s">
        <v>503</v>
      </c>
      <c r="Q35" s="87"/>
      <c r="R35" s="85" t="s">
        <v>488</v>
      </c>
      <c r="S35" s="72">
        <f t="shared" si="4"/>
        <v>40</v>
      </c>
      <c r="T35" s="72">
        <f t="shared" si="0"/>
        <v>13</v>
      </c>
      <c r="U35" s="72">
        <f t="shared" si="1"/>
        <v>3</v>
      </c>
      <c r="V35" s="86">
        <f t="shared" si="2"/>
        <v>1</v>
      </c>
    </row>
    <row r="36" spans="1:22" s="46" customFormat="1" ht="18" customHeight="1" thickBot="1" x14ac:dyDescent="0.3">
      <c r="A36" s="743"/>
      <c r="B36" s="717"/>
      <c r="C36" s="746"/>
      <c r="D36" s="747"/>
      <c r="E36" s="76"/>
      <c r="F36" s="77"/>
      <c r="G36" s="76"/>
      <c r="H36" s="738"/>
      <c r="I36" s="179" t="s">
        <v>405</v>
      </c>
      <c r="J36" s="180">
        <v>100</v>
      </c>
      <c r="K36" s="181"/>
      <c r="L36" s="182"/>
      <c r="M36" s="183" t="s">
        <v>486</v>
      </c>
      <c r="N36" s="180">
        <v>61</v>
      </c>
      <c r="O36" s="179">
        <v>2</v>
      </c>
      <c r="P36" s="180" t="s">
        <v>503</v>
      </c>
      <c r="Q36" s="183"/>
      <c r="R36" s="184" t="s">
        <v>488</v>
      </c>
      <c r="S36" s="72">
        <f t="shared" si="4"/>
        <v>20</v>
      </c>
      <c r="T36" s="72">
        <f t="shared" si="0"/>
        <v>7</v>
      </c>
      <c r="U36" s="72">
        <f t="shared" si="1"/>
        <v>1</v>
      </c>
      <c r="V36" s="86">
        <f t="shared" si="2"/>
        <v>0</v>
      </c>
    </row>
    <row r="37" spans="1:22" s="46" customFormat="1" ht="18" customHeight="1" x14ac:dyDescent="0.25">
      <c r="A37" s="743"/>
      <c r="B37" s="717"/>
      <c r="C37" s="748" t="s">
        <v>526</v>
      </c>
      <c r="D37" s="739"/>
      <c r="E37" s="64"/>
      <c r="F37" s="64"/>
      <c r="G37" s="185"/>
      <c r="H37" s="64"/>
      <c r="I37" s="67" t="s">
        <v>321</v>
      </c>
      <c r="J37" s="68">
        <v>100</v>
      </c>
      <c r="K37" s="178"/>
      <c r="L37" s="69"/>
      <c r="M37" s="70" t="s">
        <v>486</v>
      </c>
      <c r="N37" s="68">
        <v>118</v>
      </c>
      <c r="O37" s="67">
        <v>4</v>
      </c>
      <c r="P37" s="68" t="s">
        <v>487</v>
      </c>
      <c r="Q37" s="70"/>
      <c r="R37" s="71" t="s">
        <v>488</v>
      </c>
      <c r="S37" s="72">
        <f t="shared" si="4"/>
        <v>39</v>
      </c>
      <c r="T37" s="72">
        <f t="shared" si="0"/>
        <v>13</v>
      </c>
      <c r="U37" s="72">
        <f t="shared" si="1"/>
        <v>1</v>
      </c>
      <c r="V37" s="86">
        <f t="shared" si="2"/>
        <v>0</v>
      </c>
    </row>
    <row r="38" spans="1:22" s="46" customFormat="1" ht="18" customHeight="1" x14ac:dyDescent="0.25">
      <c r="A38" s="743"/>
      <c r="B38" s="717"/>
      <c r="C38" s="728"/>
      <c r="D38" s="740"/>
      <c r="E38" s="76"/>
      <c r="F38" s="76"/>
      <c r="G38" s="186"/>
      <c r="H38" s="76" t="s">
        <v>490</v>
      </c>
      <c r="I38" s="88" t="s">
        <v>527</v>
      </c>
      <c r="J38" s="89">
        <v>160</v>
      </c>
      <c r="K38" s="90"/>
      <c r="L38" s="91"/>
      <c r="M38" s="92" t="s">
        <v>486</v>
      </c>
      <c r="N38" s="93"/>
      <c r="O38" s="94"/>
      <c r="P38" s="89" t="s">
        <v>487</v>
      </c>
      <c r="Q38" s="145" t="s">
        <v>528</v>
      </c>
      <c r="R38" s="95" t="s">
        <v>529</v>
      </c>
      <c r="S38" s="72">
        <f t="shared" si="4"/>
        <v>0</v>
      </c>
      <c r="T38" s="72">
        <f t="shared" si="0"/>
        <v>0</v>
      </c>
      <c r="U38" s="96">
        <v>0</v>
      </c>
      <c r="V38" s="97">
        <v>0</v>
      </c>
    </row>
    <row r="39" spans="1:22" s="46" customFormat="1" ht="18" customHeight="1" x14ac:dyDescent="0.25">
      <c r="A39" s="743"/>
      <c r="B39" s="717"/>
      <c r="C39" s="728"/>
      <c r="D39" s="740"/>
      <c r="E39" s="76"/>
      <c r="F39" s="76"/>
      <c r="G39" s="186"/>
      <c r="H39" s="76"/>
      <c r="I39" s="79" t="s">
        <v>393</v>
      </c>
      <c r="J39" s="80">
        <v>160</v>
      </c>
      <c r="K39" s="81"/>
      <c r="L39" s="82"/>
      <c r="M39" s="83" t="s">
        <v>486</v>
      </c>
      <c r="N39" s="80">
        <v>20</v>
      </c>
      <c r="O39" s="79">
        <v>5</v>
      </c>
      <c r="P39" s="80" t="s">
        <v>487</v>
      </c>
      <c r="Q39" s="79" t="s">
        <v>530</v>
      </c>
      <c r="R39" s="85" t="s">
        <v>488</v>
      </c>
      <c r="S39" s="72">
        <f t="shared" si="4"/>
        <v>7</v>
      </c>
      <c r="T39" s="72">
        <f t="shared" si="0"/>
        <v>2</v>
      </c>
      <c r="U39" s="72">
        <f t="shared" si="1"/>
        <v>2</v>
      </c>
      <c r="V39" s="86">
        <f t="shared" si="2"/>
        <v>1</v>
      </c>
    </row>
    <row r="40" spans="1:22" s="46" customFormat="1" ht="18" customHeight="1" x14ac:dyDescent="0.25">
      <c r="A40" s="743"/>
      <c r="B40" s="717"/>
      <c r="C40" s="728"/>
      <c r="D40" s="740"/>
      <c r="E40" s="76"/>
      <c r="F40" s="76"/>
      <c r="G40" s="186"/>
      <c r="H40" s="76"/>
      <c r="I40" s="79" t="s">
        <v>404</v>
      </c>
      <c r="J40" s="80">
        <v>100</v>
      </c>
      <c r="K40" s="79">
        <v>250</v>
      </c>
      <c r="L40" s="82"/>
      <c r="M40" s="83" t="s">
        <v>486</v>
      </c>
      <c r="N40" s="80">
        <v>9</v>
      </c>
      <c r="O40" s="79">
        <v>2</v>
      </c>
      <c r="P40" s="80" t="s">
        <v>487</v>
      </c>
      <c r="Q40" s="79" t="s">
        <v>525</v>
      </c>
      <c r="R40" s="85" t="s">
        <v>488</v>
      </c>
      <c r="S40" s="72">
        <f t="shared" si="4"/>
        <v>3</v>
      </c>
      <c r="T40" s="72">
        <f t="shared" si="0"/>
        <v>1</v>
      </c>
      <c r="U40" s="72">
        <f t="shared" si="1"/>
        <v>1</v>
      </c>
      <c r="V40" s="86">
        <f t="shared" si="2"/>
        <v>0</v>
      </c>
    </row>
    <row r="41" spans="1:22" s="46" customFormat="1" ht="18" customHeight="1" x14ac:dyDescent="0.25">
      <c r="A41" s="743"/>
      <c r="B41" s="717"/>
      <c r="C41" s="728"/>
      <c r="D41" s="740"/>
      <c r="E41" s="76"/>
      <c r="F41" s="76"/>
      <c r="G41" s="186"/>
      <c r="H41" s="76"/>
      <c r="I41" s="79" t="s">
        <v>403</v>
      </c>
      <c r="J41" s="80">
        <v>160</v>
      </c>
      <c r="K41" s="81"/>
      <c r="L41" s="82"/>
      <c r="M41" s="83" t="s">
        <v>486</v>
      </c>
      <c r="N41" s="80">
        <v>122</v>
      </c>
      <c r="O41" s="79">
        <v>6</v>
      </c>
      <c r="P41" s="80" t="s">
        <v>487</v>
      </c>
      <c r="Q41" s="81"/>
      <c r="R41" s="85" t="s">
        <v>488</v>
      </c>
      <c r="S41" s="72">
        <f t="shared" si="4"/>
        <v>41</v>
      </c>
      <c r="T41" s="72">
        <f t="shared" si="0"/>
        <v>14</v>
      </c>
      <c r="U41" s="72">
        <f t="shared" si="1"/>
        <v>2</v>
      </c>
      <c r="V41" s="86">
        <f t="shared" si="2"/>
        <v>1</v>
      </c>
    </row>
    <row r="42" spans="1:22" s="46" customFormat="1" ht="18" customHeight="1" x14ac:dyDescent="0.25">
      <c r="A42" s="743"/>
      <c r="B42" s="717"/>
      <c r="C42" s="728"/>
      <c r="D42" s="740"/>
      <c r="E42" s="76"/>
      <c r="F42" s="76"/>
      <c r="G42" s="187"/>
      <c r="H42" s="76"/>
      <c r="I42" s="88" t="s">
        <v>531</v>
      </c>
      <c r="J42" s="89">
        <v>100</v>
      </c>
      <c r="K42" s="90"/>
      <c r="L42" s="91"/>
      <c r="M42" s="92" t="s">
        <v>486</v>
      </c>
      <c r="N42" s="89">
        <v>105</v>
      </c>
      <c r="O42" s="88">
        <v>3</v>
      </c>
      <c r="P42" s="89" t="s">
        <v>487</v>
      </c>
      <c r="Q42" s="88" t="s">
        <v>532</v>
      </c>
      <c r="R42" s="95" t="s">
        <v>533</v>
      </c>
      <c r="S42" s="72">
        <f t="shared" si="4"/>
        <v>35</v>
      </c>
      <c r="T42" s="72">
        <f t="shared" si="0"/>
        <v>12</v>
      </c>
      <c r="U42" s="72">
        <f t="shared" si="1"/>
        <v>1</v>
      </c>
      <c r="V42" s="86">
        <f t="shared" si="2"/>
        <v>0</v>
      </c>
    </row>
    <row r="43" spans="1:22" s="46" customFormat="1" ht="18" customHeight="1" x14ac:dyDescent="0.25">
      <c r="A43" s="743"/>
      <c r="B43" s="717"/>
      <c r="C43" s="728"/>
      <c r="D43" s="740"/>
      <c r="E43" s="76"/>
      <c r="F43" s="76"/>
      <c r="G43" s="187"/>
      <c r="H43" s="76"/>
      <c r="I43" s="88" t="s">
        <v>534</v>
      </c>
      <c r="J43" s="89">
        <v>160</v>
      </c>
      <c r="K43" s="90"/>
      <c r="L43" s="91"/>
      <c r="M43" s="92" t="s">
        <v>486</v>
      </c>
      <c r="N43" s="89">
        <v>0</v>
      </c>
      <c r="O43" s="88">
        <v>1</v>
      </c>
      <c r="P43" s="89" t="s">
        <v>487</v>
      </c>
      <c r="Q43" s="88" t="s">
        <v>535</v>
      </c>
      <c r="R43" s="95" t="s">
        <v>533</v>
      </c>
      <c r="S43" s="72">
        <f t="shared" si="4"/>
        <v>0</v>
      </c>
      <c r="T43" s="72">
        <f t="shared" si="0"/>
        <v>0</v>
      </c>
      <c r="U43" s="95">
        <v>1</v>
      </c>
      <c r="V43" s="89">
        <v>1</v>
      </c>
    </row>
    <row r="44" spans="1:22" s="46" customFormat="1" ht="18" customHeight="1" x14ac:dyDescent="0.25">
      <c r="A44" s="743"/>
      <c r="B44" s="717"/>
      <c r="C44" s="728"/>
      <c r="D44" s="740"/>
      <c r="E44" s="76"/>
      <c r="F44" s="76"/>
      <c r="G44" s="187"/>
      <c r="H44" s="76"/>
      <c r="I44" s="79" t="s">
        <v>354</v>
      </c>
      <c r="J44" s="80">
        <v>63</v>
      </c>
      <c r="K44" s="81"/>
      <c r="L44" s="82"/>
      <c r="M44" s="83" t="s">
        <v>486</v>
      </c>
      <c r="N44" s="80">
        <v>0</v>
      </c>
      <c r="O44" s="79">
        <v>2</v>
      </c>
      <c r="P44" s="80" t="s">
        <v>487</v>
      </c>
      <c r="Q44" s="79" t="s">
        <v>536</v>
      </c>
      <c r="R44" s="85" t="s">
        <v>488</v>
      </c>
      <c r="S44" s="72">
        <f t="shared" si="4"/>
        <v>0</v>
      </c>
      <c r="T44" s="72">
        <f t="shared" si="0"/>
        <v>0</v>
      </c>
      <c r="U44" s="73">
        <v>2</v>
      </c>
      <c r="V44" s="74">
        <v>2</v>
      </c>
    </row>
    <row r="45" spans="1:22" s="46" customFormat="1" ht="18" customHeight="1" x14ac:dyDescent="0.25">
      <c r="A45" s="743"/>
      <c r="B45" s="717"/>
      <c r="C45" s="728"/>
      <c r="D45" s="740"/>
      <c r="E45" s="76"/>
      <c r="F45" s="76"/>
      <c r="G45" s="187"/>
      <c r="H45" s="76"/>
      <c r="I45" s="88" t="s">
        <v>537</v>
      </c>
      <c r="J45" s="89">
        <v>160</v>
      </c>
      <c r="K45" s="90"/>
      <c r="L45" s="91"/>
      <c r="M45" s="92" t="s">
        <v>486</v>
      </c>
      <c r="N45" s="93"/>
      <c r="O45" s="94"/>
      <c r="P45" s="89" t="s">
        <v>450</v>
      </c>
      <c r="Q45" s="88" t="s">
        <v>528</v>
      </c>
      <c r="R45" s="95" t="s">
        <v>279</v>
      </c>
      <c r="S45" s="72">
        <f t="shared" si="4"/>
        <v>0</v>
      </c>
      <c r="T45" s="72">
        <f t="shared" si="0"/>
        <v>0</v>
      </c>
      <c r="U45" s="96">
        <v>0</v>
      </c>
      <c r="V45" s="97">
        <v>0</v>
      </c>
    </row>
    <row r="46" spans="1:22" s="46" customFormat="1" ht="18" customHeight="1" x14ac:dyDescent="0.25">
      <c r="A46" s="743"/>
      <c r="B46" s="717"/>
      <c r="C46" s="728"/>
      <c r="D46" s="740"/>
      <c r="E46" s="76"/>
      <c r="F46" s="76"/>
      <c r="G46" s="186"/>
      <c r="H46" s="76"/>
      <c r="I46" s="79" t="s">
        <v>296</v>
      </c>
      <c r="J46" s="80">
        <v>160</v>
      </c>
      <c r="K46" s="81"/>
      <c r="L46" s="82"/>
      <c r="M46" s="83" t="s">
        <v>486</v>
      </c>
      <c r="N46" s="80">
        <v>97</v>
      </c>
      <c r="O46" s="79">
        <v>7</v>
      </c>
      <c r="P46" s="80" t="s">
        <v>450</v>
      </c>
      <c r="Q46" s="81"/>
      <c r="R46" s="85" t="s">
        <v>488</v>
      </c>
      <c r="S46" s="72">
        <f t="shared" si="4"/>
        <v>32</v>
      </c>
      <c r="T46" s="72">
        <f t="shared" si="0"/>
        <v>11</v>
      </c>
      <c r="U46" s="72">
        <f t="shared" si="1"/>
        <v>2</v>
      </c>
      <c r="V46" s="86">
        <f t="shared" si="2"/>
        <v>1</v>
      </c>
    </row>
    <row r="47" spans="1:22" s="46" customFormat="1" ht="18" customHeight="1" x14ac:dyDescent="0.25">
      <c r="A47" s="743"/>
      <c r="B47" s="717"/>
      <c r="C47" s="728"/>
      <c r="D47" s="740"/>
      <c r="E47" s="76"/>
      <c r="F47" s="76"/>
      <c r="G47" s="186"/>
      <c r="H47" s="76"/>
      <c r="I47" s="79" t="s">
        <v>538</v>
      </c>
      <c r="J47" s="80">
        <v>100</v>
      </c>
      <c r="K47" s="81"/>
      <c r="L47" s="82"/>
      <c r="M47" s="83" t="s">
        <v>486</v>
      </c>
      <c r="N47" s="80">
        <v>82</v>
      </c>
      <c r="O47" s="79">
        <v>0</v>
      </c>
      <c r="P47" s="80" t="s">
        <v>450</v>
      </c>
      <c r="Q47" s="81"/>
      <c r="R47" s="85" t="s">
        <v>488</v>
      </c>
      <c r="S47" s="72">
        <f t="shared" si="4"/>
        <v>27</v>
      </c>
      <c r="T47" s="72">
        <f t="shared" si="0"/>
        <v>9</v>
      </c>
      <c r="U47" s="72">
        <f t="shared" si="1"/>
        <v>0</v>
      </c>
      <c r="V47" s="86">
        <f t="shared" si="2"/>
        <v>0</v>
      </c>
    </row>
    <row r="48" spans="1:22" s="46" customFormat="1" ht="18" customHeight="1" x14ac:dyDescent="0.25">
      <c r="A48" s="743"/>
      <c r="B48" s="717"/>
      <c r="C48" s="728"/>
      <c r="D48" s="740"/>
      <c r="E48" s="76"/>
      <c r="F48" s="76"/>
      <c r="G48" s="186"/>
      <c r="H48" s="76"/>
      <c r="I48" s="88" t="s">
        <v>448</v>
      </c>
      <c r="J48" s="89">
        <v>25</v>
      </c>
      <c r="K48" s="90"/>
      <c r="L48" s="91"/>
      <c r="M48" s="92" t="s">
        <v>486</v>
      </c>
      <c r="N48" s="89">
        <v>0</v>
      </c>
      <c r="O48" s="88">
        <v>1</v>
      </c>
      <c r="P48" s="89" t="s">
        <v>450</v>
      </c>
      <c r="Q48" s="88" t="s">
        <v>539</v>
      </c>
      <c r="R48" s="95" t="s">
        <v>449</v>
      </c>
      <c r="S48" s="72">
        <f t="shared" si="4"/>
        <v>0</v>
      </c>
      <c r="T48" s="72">
        <f t="shared" si="0"/>
        <v>0</v>
      </c>
      <c r="U48" s="95">
        <v>1</v>
      </c>
      <c r="V48" s="188">
        <v>1</v>
      </c>
    </row>
    <row r="49" spans="1:29" s="46" customFormat="1" ht="18" customHeight="1" x14ac:dyDescent="0.25">
      <c r="A49" s="743"/>
      <c r="B49" s="717"/>
      <c r="C49" s="728"/>
      <c r="D49" s="740"/>
      <c r="E49" s="76"/>
      <c r="F49" s="76"/>
      <c r="G49" s="186"/>
      <c r="H49" s="76"/>
      <c r="I49" s="88" t="s">
        <v>540</v>
      </c>
      <c r="J49" s="89">
        <v>100</v>
      </c>
      <c r="K49" s="90"/>
      <c r="L49" s="91"/>
      <c r="M49" s="92" t="s">
        <v>486</v>
      </c>
      <c r="N49" s="93"/>
      <c r="O49" s="94"/>
      <c r="P49" s="89" t="s">
        <v>450</v>
      </c>
      <c r="Q49" s="88" t="s">
        <v>528</v>
      </c>
      <c r="R49" s="95" t="s">
        <v>541</v>
      </c>
      <c r="S49" s="72">
        <f t="shared" si="4"/>
        <v>0</v>
      </c>
      <c r="T49" s="72">
        <f t="shared" si="0"/>
        <v>0</v>
      </c>
      <c r="U49" s="96">
        <v>0</v>
      </c>
      <c r="V49" s="97">
        <v>0</v>
      </c>
    </row>
    <row r="50" spans="1:29" s="46" customFormat="1" ht="18" customHeight="1" x14ac:dyDescent="0.25">
      <c r="A50" s="743"/>
      <c r="B50" s="717"/>
      <c r="C50" s="728"/>
      <c r="D50" s="740"/>
      <c r="E50" s="76"/>
      <c r="F50" s="76"/>
      <c r="G50" s="186"/>
      <c r="H50" s="76"/>
      <c r="I50" s="79" t="s">
        <v>377</v>
      </c>
      <c r="J50" s="80">
        <v>25</v>
      </c>
      <c r="K50" s="81"/>
      <c r="L50" s="82"/>
      <c r="M50" s="83" t="s">
        <v>486</v>
      </c>
      <c r="N50" s="80">
        <v>0</v>
      </c>
      <c r="O50" s="79">
        <v>1</v>
      </c>
      <c r="P50" s="80" t="s">
        <v>450</v>
      </c>
      <c r="Q50" s="79" t="s">
        <v>542</v>
      </c>
      <c r="R50" s="85" t="s">
        <v>488</v>
      </c>
      <c r="S50" s="72">
        <f t="shared" si="4"/>
        <v>0</v>
      </c>
      <c r="T50" s="72">
        <f t="shared" si="0"/>
        <v>0</v>
      </c>
      <c r="U50" s="189">
        <v>1</v>
      </c>
      <c r="V50" s="74">
        <v>1</v>
      </c>
    </row>
    <row r="51" spans="1:29" s="46" customFormat="1" ht="18" customHeight="1" thickBot="1" x14ac:dyDescent="0.3">
      <c r="A51" s="743"/>
      <c r="B51" s="717"/>
      <c r="C51" s="729"/>
      <c r="D51" s="741"/>
      <c r="E51" s="190"/>
      <c r="F51" s="190"/>
      <c r="G51" s="191"/>
      <c r="H51" s="190"/>
      <c r="I51" s="192" t="s">
        <v>451</v>
      </c>
      <c r="J51" s="193">
        <v>2.5</v>
      </c>
      <c r="K51" s="194"/>
      <c r="L51" s="195"/>
      <c r="M51" s="196" t="s">
        <v>486</v>
      </c>
      <c r="N51" s="193">
        <v>0</v>
      </c>
      <c r="O51" s="192">
        <v>1</v>
      </c>
      <c r="P51" s="193" t="s">
        <v>450</v>
      </c>
      <c r="Q51" s="197"/>
      <c r="R51" s="198" t="s">
        <v>543</v>
      </c>
      <c r="S51" s="72">
        <f t="shared" si="4"/>
        <v>0</v>
      </c>
      <c r="T51" s="72">
        <f t="shared" si="0"/>
        <v>0</v>
      </c>
      <c r="U51" s="95">
        <v>1</v>
      </c>
      <c r="V51" s="89">
        <v>1</v>
      </c>
    </row>
    <row r="52" spans="1:29" s="46" customFormat="1" ht="18" customHeight="1" x14ac:dyDescent="0.25">
      <c r="A52" s="743"/>
      <c r="B52" s="717"/>
      <c r="C52" s="748" t="s">
        <v>544</v>
      </c>
      <c r="D52" s="749"/>
      <c r="E52" s="64"/>
      <c r="F52" s="64"/>
      <c r="G52" s="185"/>
      <c r="H52" s="64"/>
      <c r="I52" s="67" t="s">
        <v>295</v>
      </c>
      <c r="J52" s="68">
        <v>250</v>
      </c>
      <c r="K52" s="178"/>
      <c r="L52" s="69"/>
      <c r="M52" s="70" t="s">
        <v>486</v>
      </c>
      <c r="N52" s="68">
        <v>175</v>
      </c>
      <c r="O52" s="67">
        <v>2</v>
      </c>
      <c r="P52" s="68" t="s">
        <v>487</v>
      </c>
      <c r="Q52" s="199"/>
      <c r="R52" s="71" t="s">
        <v>488</v>
      </c>
      <c r="S52" s="72">
        <f t="shared" si="4"/>
        <v>58</v>
      </c>
      <c r="T52" s="72">
        <f t="shared" si="0"/>
        <v>19</v>
      </c>
      <c r="U52" s="72">
        <f t="shared" si="1"/>
        <v>1</v>
      </c>
      <c r="V52" s="86">
        <f t="shared" si="2"/>
        <v>0</v>
      </c>
    </row>
    <row r="53" spans="1:29" s="46" customFormat="1" ht="18" customHeight="1" x14ac:dyDescent="0.25">
      <c r="A53" s="743"/>
      <c r="B53" s="717"/>
      <c r="C53" s="728"/>
      <c r="D53" s="750"/>
      <c r="E53" s="76"/>
      <c r="F53" s="76"/>
      <c r="G53" s="186"/>
      <c r="H53" s="76"/>
      <c r="I53" s="79" t="s">
        <v>359</v>
      </c>
      <c r="J53" s="80">
        <v>400</v>
      </c>
      <c r="K53" s="81"/>
      <c r="L53" s="82"/>
      <c r="M53" s="83" t="s">
        <v>486</v>
      </c>
      <c r="N53" s="80">
        <v>219</v>
      </c>
      <c r="O53" s="79">
        <v>27</v>
      </c>
      <c r="P53" s="80" t="s">
        <v>487</v>
      </c>
      <c r="Q53" s="79" t="s">
        <v>545</v>
      </c>
      <c r="R53" s="85" t="s">
        <v>488</v>
      </c>
      <c r="S53" s="72">
        <f t="shared" si="4"/>
        <v>73</v>
      </c>
      <c r="T53" s="72">
        <f t="shared" si="0"/>
        <v>24</v>
      </c>
      <c r="U53" s="72">
        <f t="shared" si="1"/>
        <v>9</v>
      </c>
      <c r="V53" s="86">
        <f t="shared" si="2"/>
        <v>3</v>
      </c>
      <c r="W53" s="200"/>
      <c r="X53" s="201"/>
      <c r="Y53" s="201"/>
      <c r="Z53" s="201"/>
      <c r="AA53" s="202"/>
      <c r="AB53" s="200"/>
      <c r="AC53" s="203"/>
    </row>
    <row r="54" spans="1:29" s="46" customFormat="1" ht="18" customHeight="1" x14ac:dyDescent="0.25">
      <c r="A54" s="743"/>
      <c r="B54" s="717"/>
      <c r="C54" s="728"/>
      <c r="D54" s="750"/>
      <c r="E54" s="76"/>
      <c r="F54" s="76"/>
      <c r="G54" s="186"/>
      <c r="H54" s="76"/>
      <c r="I54" s="79" t="s">
        <v>363</v>
      </c>
      <c r="J54" s="80">
        <v>100</v>
      </c>
      <c r="K54" s="81"/>
      <c r="L54" s="82"/>
      <c r="M54" s="83" t="s">
        <v>486</v>
      </c>
      <c r="N54" s="80">
        <v>138</v>
      </c>
      <c r="O54" s="79">
        <v>1</v>
      </c>
      <c r="P54" s="80" t="s">
        <v>546</v>
      </c>
      <c r="Q54" s="81"/>
      <c r="R54" s="85" t="s">
        <v>488</v>
      </c>
      <c r="S54" s="72">
        <f t="shared" si="4"/>
        <v>46</v>
      </c>
      <c r="T54" s="72">
        <f t="shared" si="0"/>
        <v>15</v>
      </c>
      <c r="U54" s="72">
        <f t="shared" si="1"/>
        <v>0</v>
      </c>
      <c r="V54" s="86">
        <f t="shared" si="2"/>
        <v>0</v>
      </c>
      <c r="W54" s="200"/>
      <c r="X54" s="201"/>
      <c r="Y54" s="201"/>
      <c r="Z54" s="201"/>
      <c r="AA54" s="203"/>
      <c r="AB54" s="200"/>
      <c r="AC54" s="203"/>
    </row>
    <row r="55" spans="1:29" s="46" customFormat="1" ht="18" customHeight="1" x14ac:dyDescent="0.25">
      <c r="A55" s="743"/>
      <c r="B55" s="717"/>
      <c r="C55" s="728"/>
      <c r="D55" s="750"/>
      <c r="E55" s="76"/>
      <c r="F55" s="76"/>
      <c r="G55" s="186"/>
      <c r="H55" s="76"/>
      <c r="I55" s="79" t="s">
        <v>437</v>
      </c>
      <c r="J55" s="80">
        <v>250</v>
      </c>
      <c r="K55" s="81"/>
      <c r="L55" s="82"/>
      <c r="M55" s="83" t="s">
        <v>486</v>
      </c>
      <c r="N55" s="80">
        <v>88</v>
      </c>
      <c r="O55" s="79">
        <v>1</v>
      </c>
      <c r="P55" s="80" t="s">
        <v>546</v>
      </c>
      <c r="Q55" s="81"/>
      <c r="R55" s="85" t="s">
        <v>488</v>
      </c>
      <c r="S55" s="72">
        <f t="shared" si="4"/>
        <v>29</v>
      </c>
      <c r="T55" s="72">
        <f t="shared" si="0"/>
        <v>10</v>
      </c>
      <c r="U55" s="72">
        <f t="shared" si="1"/>
        <v>0</v>
      </c>
      <c r="V55" s="86">
        <f t="shared" si="2"/>
        <v>0</v>
      </c>
      <c r="W55" s="204"/>
      <c r="X55" s="205"/>
      <c r="Y55" s="205"/>
      <c r="Z55" s="205"/>
      <c r="AA55" s="206"/>
      <c r="AB55" s="204"/>
      <c r="AC55" s="207"/>
    </row>
    <row r="56" spans="1:29" s="46" customFormat="1" ht="18" customHeight="1" thickBot="1" x14ac:dyDescent="0.3">
      <c r="A56" s="743"/>
      <c r="B56" s="717"/>
      <c r="C56" s="728"/>
      <c r="D56" s="750"/>
      <c r="E56" s="76"/>
      <c r="F56" s="76"/>
      <c r="G56" s="186"/>
      <c r="H56" s="98"/>
      <c r="I56" s="208" t="s">
        <v>362</v>
      </c>
      <c r="J56" s="209">
        <v>160</v>
      </c>
      <c r="K56" s="210"/>
      <c r="L56" s="211"/>
      <c r="M56" s="212" t="s">
        <v>486</v>
      </c>
      <c r="N56" s="209">
        <v>123</v>
      </c>
      <c r="O56" s="208">
        <v>8</v>
      </c>
      <c r="P56" s="209" t="s">
        <v>546</v>
      </c>
      <c r="Q56" s="210"/>
      <c r="R56" s="213" t="s">
        <v>488</v>
      </c>
      <c r="S56" s="72">
        <f t="shared" si="4"/>
        <v>41</v>
      </c>
      <c r="T56" s="72">
        <f t="shared" si="0"/>
        <v>14</v>
      </c>
      <c r="U56" s="72">
        <f t="shared" si="1"/>
        <v>3</v>
      </c>
      <c r="V56" s="86">
        <f t="shared" si="2"/>
        <v>1</v>
      </c>
      <c r="W56" s="200"/>
      <c r="X56" s="201"/>
      <c r="Y56" s="201"/>
      <c r="Z56" s="201"/>
      <c r="AA56" s="202"/>
      <c r="AB56" s="200"/>
      <c r="AC56" s="203"/>
    </row>
    <row r="57" spans="1:29" s="46" customFormat="1" ht="18" customHeight="1" x14ac:dyDescent="0.25">
      <c r="A57" s="743"/>
      <c r="B57" s="717"/>
      <c r="C57" s="728"/>
      <c r="D57" s="750"/>
      <c r="E57" s="76"/>
      <c r="F57" s="76"/>
      <c r="G57" s="186"/>
      <c r="H57" s="751" t="s">
        <v>547</v>
      </c>
      <c r="I57" s="67" t="s">
        <v>355</v>
      </c>
      <c r="J57" s="68">
        <v>160</v>
      </c>
      <c r="K57" s="178"/>
      <c r="L57" s="69"/>
      <c r="M57" s="70" t="s">
        <v>486</v>
      </c>
      <c r="N57" s="68">
        <v>98</v>
      </c>
      <c r="O57" s="67">
        <v>2</v>
      </c>
      <c r="P57" s="68" t="s">
        <v>546</v>
      </c>
      <c r="Q57" s="178"/>
      <c r="R57" s="71" t="s">
        <v>488</v>
      </c>
      <c r="S57" s="72">
        <f t="shared" si="4"/>
        <v>33</v>
      </c>
      <c r="T57" s="72">
        <f t="shared" si="0"/>
        <v>11</v>
      </c>
      <c r="U57" s="72">
        <f t="shared" si="1"/>
        <v>1</v>
      </c>
      <c r="V57" s="86">
        <f t="shared" si="2"/>
        <v>0</v>
      </c>
      <c r="W57" s="200"/>
      <c r="X57" s="201"/>
      <c r="Y57" s="201"/>
      <c r="Z57" s="201"/>
      <c r="AA57" s="202"/>
      <c r="AB57" s="200"/>
      <c r="AC57" s="203"/>
    </row>
    <row r="58" spans="1:29" s="46" customFormat="1" ht="18" customHeight="1" x14ac:dyDescent="0.25">
      <c r="A58" s="743"/>
      <c r="B58" s="717"/>
      <c r="C58" s="728"/>
      <c r="D58" s="750"/>
      <c r="E58" s="76"/>
      <c r="F58" s="76"/>
      <c r="G58" s="186"/>
      <c r="H58" s="752"/>
      <c r="I58" s="79" t="s">
        <v>548</v>
      </c>
      <c r="J58" s="80">
        <v>160</v>
      </c>
      <c r="K58" s="81"/>
      <c r="L58" s="82"/>
      <c r="M58" s="83" t="s">
        <v>486</v>
      </c>
      <c r="N58" s="80">
        <v>64</v>
      </c>
      <c r="O58" s="79">
        <v>0</v>
      </c>
      <c r="P58" s="80" t="s">
        <v>546</v>
      </c>
      <c r="Q58" s="81"/>
      <c r="R58" s="85" t="s">
        <v>488</v>
      </c>
      <c r="S58" s="72">
        <f t="shared" si="4"/>
        <v>21</v>
      </c>
      <c r="T58" s="72">
        <f t="shared" si="0"/>
        <v>7</v>
      </c>
      <c r="U58" s="72">
        <f t="shared" si="1"/>
        <v>0</v>
      </c>
      <c r="V58" s="86">
        <f t="shared" si="2"/>
        <v>0</v>
      </c>
      <c r="W58" s="200"/>
      <c r="X58" s="201"/>
      <c r="Y58" s="201"/>
      <c r="Z58" s="201"/>
      <c r="AA58" s="202"/>
      <c r="AB58" s="200"/>
      <c r="AC58" s="203"/>
    </row>
    <row r="59" spans="1:29" s="46" customFormat="1" ht="18" customHeight="1" x14ac:dyDescent="0.25">
      <c r="A59" s="743"/>
      <c r="B59" s="717"/>
      <c r="C59" s="728"/>
      <c r="D59" s="750"/>
      <c r="E59" s="76"/>
      <c r="F59" s="76"/>
      <c r="G59" s="186"/>
      <c r="H59" s="752"/>
      <c r="I59" s="79" t="s">
        <v>440</v>
      </c>
      <c r="J59" s="80">
        <v>60</v>
      </c>
      <c r="K59" s="81"/>
      <c r="L59" s="82"/>
      <c r="M59" s="83" t="s">
        <v>486</v>
      </c>
      <c r="N59" s="80">
        <v>54</v>
      </c>
      <c r="O59" s="79">
        <v>2</v>
      </c>
      <c r="P59" s="80" t="s">
        <v>546</v>
      </c>
      <c r="Q59" s="81"/>
      <c r="R59" s="85" t="s">
        <v>488</v>
      </c>
      <c r="S59" s="72">
        <f t="shared" si="4"/>
        <v>18</v>
      </c>
      <c r="T59" s="72">
        <f t="shared" si="0"/>
        <v>6</v>
      </c>
      <c r="U59" s="72">
        <f t="shared" si="1"/>
        <v>1</v>
      </c>
      <c r="V59" s="86">
        <f t="shared" si="2"/>
        <v>0</v>
      </c>
      <c r="W59" s="200"/>
      <c r="X59" s="201"/>
      <c r="Y59" s="201"/>
      <c r="Z59" s="201"/>
      <c r="AA59" s="202"/>
      <c r="AB59" s="200"/>
      <c r="AC59" s="203"/>
    </row>
    <row r="60" spans="1:29" s="46" customFormat="1" ht="18" customHeight="1" thickBot="1" x14ac:dyDescent="0.3">
      <c r="A60" s="743"/>
      <c r="B60" s="717"/>
      <c r="C60" s="728"/>
      <c r="D60" s="750"/>
      <c r="E60" s="190"/>
      <c r="F60" s="190"/>
      <c r="G60" s="214"/>
      <c r="H60" s="753"/>
      <c r="I60" s="179" t="s">
        <v>436</v>
      </c>
      <c r="J60" s="180">
        <v>100</v>
      </c>
      <c r="K60" s="181"/>
      <c r="L60" s="182"/>
      <c r="M60" s="215" t="s">
        <v>486</v>
      </c>
      <c r="N60" s="180">
        <v>72</v>
      </c>
      <c r="O60" s="179">
        <v>2</v>
      </c>
      <c r="P60" s="180" t="s">
        <v>546</v>
      </c>
      <c r="Q60" s="181"/>
      <c r="R60" s="184" t="s">
        <v>488</v>
      </c>
      <c r="S60" s="72">
        <f t="shared" si="4"/>
        <v>24</v>
      </c>
      <c r="T60" s="72">
        <f t="shared" si="0"/>
        <v>8</v>
      </c>
      <c r="U60" s="72">
        <f t="shared" si="1"/>
        <v>1</v>
      </c>
      <c r="V60" s="86">
        <f t="shared" si="2"/>
        <v>0</v>
      </c>
      <c r="W60" s="200"/>
      <c r="X60" s="201"/>
      <c r="Y60" s="201"/>
      <c r="Z60" s="201"/>
      <c r="AA60" s="202"/>
      <c r="AB60" s="200"/>
      <c r="AC60" s="203"/>
    </row>
    <row r="61" spans="1:29" s="46" customFormat="1" ht="18" customHeight="1" x14ac:dyDescent="0.25">
      <c r="A61" s="743"/>
      <c r="B61" s="717"/>
      <c r="C61" s="726" t="s">
        <v>549</v>
      </c>
      <c r="D61" s="730"/>
      <c r="E61" s="216"/>
      <c r="F61" s="146"/>
      <c r="G61" s="217"/>
      <c r="H61" s="218"/>
      <c r="I61" s="219" t="s">
        <v>550</v>
      </c>
      <c r="J61" s="220">
        <v>40</v>
      </c>
      <c r="K61" s="221"/>
      <c r="L61" s="222"/>
      <c r="M61" s="92" t="s">
        <v>486</v>
      </c>
      <c r="N61" s="223"/>
      <c r="O61" s="224"/>
      <c r="P61" s="220" t="s">
        <v>487</v>
      </c>
      <c r="Q61" s="225" t="s">
        <v>551</v>
      </c>
      <c r="R61" s="226" t="s">
        <v>552</v>
      </c>
      <c r="S61" s="72">
        <f t="shared" si="4"/>
        <v>0</v>
      </c>
      <c r="T61" s="72">
        <f t="shared" si="0"/>
        <v>0</v>
      </c>
      <c r="U61" s="96">
        <v>0</v>
      </c>
      <c r="V61" s="97">
        <v>0</v>
      </c>
      <c r="W61" s="200"/>
      <c r="X61" s="201"/>
      <c r="Y61" s="201"/>
      <c r="Z61" s="201"/>
      <c r="AA61" s="202"/>
      <c r="AB61" s="200"/>
      <c r="AC61" s="203"/>
    </row>
    <row r="62" spans="1:29" s="46" customFormat="1" ht="18" customHeight="1" x14ac:dyDescent="0.25">
      <c r="A62" s="743"/>
      <c r="B62" s="717"/>
      <c r="C62" s="727"/>
      <c r="D62" s="731"/>
      <c r="E62" s="227"/>
      <c r="F62" s="76"/>
      <c r="G62" s="186"/>
      <c r="H62" s="228"/>
      <c r="I62" s="88" t="s">
        <v>327</v>
      </c>
      <c r="J62" s="89">
        <v>25</v>
      </c>
      <c r="K62" s="90"/>
      <c r="L62" s="229"/>
      <c r="M62" s="92" t="s">
        <v>486</v>
      </c>
      <c r="N62" s="89">
        <v>0</v>
      </c>
      <c r="O62" s="88">
        <v>1</v>
      </c>
      <c r="P62" s="89" t="s">
        <v>487</v>
      </c>
      <c r="Q62" s="88" t="s">
        <v>553</v>
      </c>
      <c r="R62" s="95" t="s">
        <v>554</v>
      </c>
      <c r="S62" s="72">
        <f t="shared" si="4"/>
        <v>0</v>
      </c>
      <c r="T62" s="72">
        <f t="shared" si="0"/>
        <v>0</v>
      </c>
      <c r="U62" s="95">
        <v>1</v>
      </c>
      <c r="V62" s="89">
        <v>1</v>
      </c>
      <c r="W62" s="200"/>
      <c r="X62" s="201"/>
      <c r="Y62" s="201"/>
      <c r="Z62" s="201"/>
      <c r="AA62" s="202"/>
      <c r="AB62" s="200"/>
      <c r="AC62" s="203"/>
    </row>
    <row r="63" spans="1:29" s="46" customFormat="1" ht="18" customHeight="1" x14ac:dyDescent="0.25">
      <c r="A63" s="743"/>
      <c r="B63" s="717"/>
      <c r="C63" s="727"/>
      <c r="D63" s="731"/>
      <c r="E63" s="227"/>
      <c r="F63" s="76"/>
      <c r="G63" s="186"/>
      <c r="H63" s="228"/>
      <c r="I63" s="79" t="s">
        <v>555</v>
      </c>
      <c r="J63" s="80">
        <v>100</v>
      </c>
      <c r="K63" s="81"/>
      <c r="L63" s="230"/>
      <c r="M63" s="83" t="s">
        <v>486</v>
      </c>
      <c r="N63" s="80">
        <v>26</v>
      </c>
      <c r="O63" s="79">
        <v>0</v>
      </c>
      <c r="P63" s="80" t="s">
        <v>366</v>
      </c>
      <c r="Q63" s="81"/>
      <c r="R63" s="85" t="s">
        <v>488</v>
      </c>
      <c r="S63" s="72">
        <f t="shared" si="4"/>
        <v>9</v>
      </c>
      <c r="T63" s="72">
        <f t="shared" si="0"/>
        <v>3</v>
      </c>
      <c r="U63" s="72">
        <f t="shared" si="1"/>
        <v>0</v>
      </c>
      <c r="V63" s="86">
        <f t="shared" si="2"/>
        <v>0</v>
      </c>
      <c r="W63" s="200"/>
      <c r="X63" s="201"/>
      <c r="Y63" s="201"/>
      <c r="Z63" s="201"/>
      <c r="AA63" s="202"/>
      <c r="AB63" s="200"/>
      <c r="AC63" s="203"/>
    </row>
    <row r="64" spans="1:29" s="46" customFormat="1" ht="18" customHeight="1" x14ac:dyDescent="0.25">
      <c r="A64" s="743"/>
      <c r="B64" s="717"/>
      <c r="C64" s="727"/>
      <c r="D64" s="731"/>
      <c r="E64" s="227"/>
      <c r="F64" s="76"/>
      <c r="G64" s="186"/>
      <c r="H64" s="228"/>
      <c r="I64" s="79" t="s">
        <v>358</v>
      </c>
      <c r="J64" s="80">
        <v>100</v>
      </c>
      <c r="K64" s="81"/>
      <c r="L64" s="230"/>
      <c r="M64" s="83" t="s">
        <v>486</v>
      </c>
      <c r="N64" s="80">
        <v>54</v>
      </c>
      <c r="O64" s="79">
        <v>0</v>
      </c>
      <c r="P64" s="80" t="s">
        <v>366</v>
      </c>
      <c r="Q64" s="81"/>
      <c r="R64" s="85" t="s">
        <v>488</v>
      </c>
      <c r="S64" s="72">
        <f t="shared" si="4"/>
        <v>18</v>
      </c>
      <c r="T64" s="72">
        <f t="shared" si="0"/>
        <v>6</v>
      </c>
      <c r="U64" s="72">
        <f t="shared" si="1"/>
        <v>0</v>
      </c>
      <c r="V64" s="86">
        <f t="shared" si="2"/>
        <v>0</v>
      </c>
      <c r="W64" s="200"/>
      <c r="X64" s="201"/>
      <c r="Y64" s="201"/>
      <c r="Z64" s="201"/>
      <c r="AA64" s="202"/>
      <c r="AB64" s="200"/>
      <c r="AC64" s="203"/>
    </row>
    <row r="65" spans="1:29" s="46" customFormat="1" ht="18" customHeight="1" x14ac:dyDescent="0.25">
      <c r="A65" s="743"/>
      <c r="B65" s="717"/>
      <c r="C65" s="727"/>
      <c r="D65" s="731"/>
      <c r="E65" s="227"/>
      <c r="F65" s="76"/>
      <c r="G65" s="186"/>
      <c r="H65" s="228"/>
      <c r="I65" s="79" t="s">
        <v>556</v>
      </c>
      <c r="J65" s="80">
        <v>63</v>
      </c>
      <c r="K65" s="81"/>
      <c r="L65" s="230"/>
      <c r="M65" s="83" t="s">
        <v>486</v>
      </c>
      <c r="N65" s="80">
        <v>33</v>
      </c>
      <c r="O65" s="79">
        <v>0</v>
      </c>
      <c r="P65" s="80" t="s">
        <v>366</v>
      </c>
      <c r="Q65" s="81"/>
      <c r="R65" s="85" t="s">
        <v>488</v>
      </c>
      <c r="S65" s="72">
        <f t="shared" si="4"/>
        <v>11</v>
      </c>
      <c r="T65" s="72">
        <f t="shared" si="0"/>
        <v>4</v>
      </c>
      <c r="U65" s="72">
        <f t="shared" si="1"/>
        <v>0</v>
      </c>
      <c r="V65" s="86">
        <f t="shared" si="2"/>
        <v>0</v>
      </c>
      <c r="W65" s="200"/>
      <c r="X65" s="201"/>
      <c r="Y65" s="201"/>
      <c r="Z65" s="201"/>
      <c r="AA65" s="202"/>
      <c r="AB65" s="200"/>
      <c r="AC65" s="203"/>
    </row>
    <row r="66" spans="1:29" s="46" customFormat="1" ht="18" customHeight="1" x14ac:dyDescent="0.25">
      <c r="A66" s="743"/>
      <c r="B66" s="717"/>
      <c r="C66" s="727"/>
      <c r="D66" s="731"/>
      <c r="E66" s="227"/>
      <c r="F66" s="76"/>
      <c r="G66" s="186"/>
      <c r="H66" s="228"/>
      <c r="I66" s="79" t="s">
        <v>557</v>
      </c>
      <c r="J66" s="80">
        <v>63</v>
      </c>
      <c r="K66" s="81"/>
      <c r="L66" s="230"/>
      <c r="M66" s="83" t="s">
        <v>486</v>
      </c>
      <c r="N66" s="80">
        <v>54</v>
      </c>
      <c r="O66" s="79">
        <v>1</v>
      </c>
      <c r="P66" s="80" t="s">
        <v>366</v>
      </c>
      <c r="Q66" s="81"/>
      <c r="R66" s="85" t="s">
        <v>488</v>
      </c>
      <c r="S66" s="72">
        <f t="shared" si="4"/>
        <v>18</v>
      </c>
      <c r="T66" s="72">
        <f t="shared" si="0"/>
        <v>6</v>
      </c>
      <c r="U66" s="72">
        <f t="shared" si="1"/>
        <v>0</v>
      </c>
      <c r="V66" s="86">
        <f t="shared" si="2"/>
        <v>0</v>
      </c>
      <c r="W66" s="200"/>
      <c r="X66" s="201"/>
      <c r="Y66" s="201"/>
      <c r="Z66" s="201"/>
      <c r="AA66" s="202"/>
      <c r="AB66" s="200"/>
      <c r="AC66" s="203"/>
    </row>
    <row r="67" spans="1:29" s="46" customFormat="1" ht="18" customHeight="1" x14ac:dyDescent="0.25">
      <c r="A67" s="743"/>
      <c r="B67" s="717"/>
      <c r="C67" s="727"/>
      <c r="D67" s="731"/>
      <c r="E67" s="231"/>
      <c r="F67" s="98"/>
      <c r="G67" s="232"/>
      <c r="H67" s="233"/>
      <c r="I67" s="208" t="s">
        <v>330</v>
      </c>
      <c r="J67" s="209">
        <v>160</v>
      </c>
      <c r="K67" s="210"/>
      <c r="L67" s="234"/>
      <c r="M67" s="212" t="s">
        <v>486</v>
      </c>
      <c r="N67" s="209">
        <v>39</v>
      </c>
      <c r="O67" s="208">
        <v>4</v>
      </c>
      <c r="P67" s="209" t="s">
        <v>366</v>
      </c>
      <c r="Q67" s="230"/>
      <c r="R67" s="213" t="s">
        <v>488</v>
      </c>
      <c r="S67" s="72">
        <f t="shared" si="4"/>
        <v>13</v>
      </c>
      <c r="T67" s="72">
        <f t="shared" si="0"/>
        <v>4</v>
      </c>
      <c r="U67" s="72">
        <f t="shared" si="1"/>
        <v>1</v>
      </c>
      <c r="V67" s="86">
        <f t="shared" si="2"/>
        <v>0</v>
      </c>
      <c r="W67" s="200"/>
      <c r="X67" s="201"/>
      <c r="Y67" s="201"/>
      <c r="Z67" s="201"/>
      <c r="AA67" s="202"/>
      <c r="AB67" s="200"/>
      <c r="AC67" s="202"/>
    </row>
    <row r="68" spans="1:29" s="46" customFormat="1" ht="18" customHeight="1" thickBot="1" x14ac:dyDescent="0.3">
      <c r="A68" s="743"/>
      <c r="B68" s="717"/>
      <c r="C68" s="727"/>
      <c r="D68" s="732"/>
      <c r="E68" s="235"/>
      <c r="F68" s="133"/>
      <c r="G68" s="135"/>
      <c r="H68" s="236"/>
      <c r="I68" s="208" t="s">
        <v>557</v>
      </c>
      <c r="J68" s="237">
        <v>63</v>
      </c>
      <c r="K68" s="181"/>
      <c r="L68" s="238"/>
      <c r="M68" s="183" t="s">
        <v>486</v>
      </c>
      <c r="N68" s="239"/>
      <c r="O68" s="240"/>
      <c r="P68" s="209" t="s">
        <v>366</v>
      </c>
      <c r="Q68" s="241"/>
      <c r="R68" s="213" t="s">
        <v>488</v>
      </c>
      <c r="S68" s="72">
        <f t="shared" si="4"/>
        <v>0</v>
      </c>
      <c r="T68" s="72">
        <f t="shared" si="0"/>
        <v>0</v>
      </c>
      <c r="U68" s="96">
        <v>0</v>
      </c>
      <c r="V68" s="97">
        <v>0</v>
      </c>
      <c r="W68" s="200"/>
      <c r="X68" s="201"/>
      <c r="Y68" s="201"/>
      <c r="Z68" s="201"/>
      <c r="AA68" s="202"/>
      <c r="AB68" s="200"/>
      <c r="AC68" s="202"/>
    </row>
    <row r="69" spans="1:29" s="46" customFormat="1" ht="18" customHeight="1" x14ac:dyDescent="0.25">
      <c r="A69" s="743"/>
      <c r="B69" s="717"/>
      <c r="C69" s="727"/>
      <c r="D69" s="732"/>
      <c r="E69" s="733" t="s">
        <v>558</v>
      </c>
      <c r="F69" s="64"/>
      <c r="G69" s="185"/>
      <c r="H69" s="242"/>
      <c r="I69" s="67" t="s">
        <v>423</v>
      </c>
      <c r="J69" s="68">
        <v>250</v>
      </c>
      <c r="K69" s="67">
        <v>250</v>
      </c>
      <c r="L69" s="243"/>
      <c r="M69" s="70" t="s">
        <v>486</v>
      </c>
      <c r="N69" s="68">
        <v>94</v>
      </c>
      <c r="O69" s="67">
        <v>3</v>
      </c>
      <c r="P69" s="68" t="s">
        <v>366</v>
      </c>
      <c r="Q69" s="178"/>
      <c r="R69" s="71" t="s">
        <v>488</v>
      </c>
      <c r="S69" s="72">
        <f t="shared" si="4"/>
        <v>31</v>
      </c>
      <c r="T69" s="72">
        <f t="shared" si="0"/>
        <v>10</v>
      </c>
      <c r="U69" s="72">
        <f t="shared" si="1"/>
        <v>1</v>
      </c>
      <c r="V69" s="86">
        <f t="shared" si="2"/>
        <v>0</v>
      </c>
      <c r="W69" s="200"/>
      <c r="X69" s="201"/>
      <c r="Y69" s="201"/>
      <c r="Z69" s="201"/>
      <c r="AA69" s="202"/>
      <c r="AB69" s="200"/>
      <c r="AC69" s="203"/>
    </row>
    <row r="70" spans="1:29" s="46" customFormat="1" ht="18" customHeight="1" x14ac:dyDescent="0.25">
      <c r="A70" s="743"/>
      <c r="B70" s="717"/>
      <c r="C70" s="727"/>
      <c r="D70" s="732"/>
      <c r="E70" s="734"/>
      <c r="F70" s="146"/>
      <c r="G70" s="217"/>
      <c r="H70" s="218"/>
      <c r="I70" s="88" t="s">
        <v>559</v>
      </c>
      <c r="J70" s="89">
        <v>25</v>
      </c>
      <c r="K70" s="90"/>
      <c r="L70" s="229"/>
      <c r="M70" s="92" t="s">
        <v>486</v>
      </c>
      <c r="N70" s="89">
        <v>0</v>
      </c>
      <c r="O70" s="88">
        <v>1</v>
      </c>
      <c r="P70" s="89" t="s">
        <v>366</v>
      </c>
      <c r="Q70" s="89"/>
      <c r="R70" s="95" t="s">
        <v>365</v>
      </c>
      <c r="S70" s="72">
        <f t="shared" si="4"/>
        <v>0</v>
      </c>
      <c r="T70" s="72">
        <f t="shared" si="0"/>
        <v>0</v>
      </c>
      <c r="U70" s="244">
        <v>1</v>
      </c>
      <c r="V70" s="188">
        <v>1</v>
      </c>
      <c r="W70" s="200"/>
      <c r="X70" s="201"/>
      <c r="Y70" s="201"/>
      <c r="Z70" s="201"/>
      <c r="AA70" s="202"/>
      <c r="AB70" s="200"/>
      <c r="AC70" s="203"/>
    </row>
    <row r="71" spans="1:29" s="46" customFormat="1" ht="18" customHeight="1" x14ac:dyDescent="0.25">
      <c r="A71" s="743"/>
      <c r="B71" s="717"/>
      <c r="C71" s="727"/>
      <c r="D71" s="732"/>
      <c r="E71" s="734"/>
      <c r="F71" s="76"/>
      <c r="G71" s="245"/>
      <c r="H71" s="246" t="s">
        <v>490</v>
      </c>
      <c r="I71" s="247" t="s">
        <v>560</v>
      </c>
      <c r="J71" s="89">
        <v>100</v>
      </c>
      <c r="K71" s="90"/>
      <c r="L71" s="229"/>
      <c r="M71" s="92" t="s">
        <v>486</v>
      </c>
      <c r="N71" s="93"/>
      <c r="O71" s="94"/>
      <c r="P71" s="89" t="s">
        <v>366</v>
      </c>
      <c r="Q71" s="88" t="s">
        <v>561</v>
      </c>
      <c r="R71" s="95" t="s">
        <v>562</v>
      </c>
      <c r="S71" s="72">
        <f t="shared" si="4"/>
        <v>0</v>
      </c>
      <c r="T71" s="72">
        <f t="shared" si="0"/>
        <v>0</v>
      </c>
      <c r="U71" s="248">
        <v>0</v>
      </c>
      <c r="V71" s="93">
        <v>0</v>
      </c>
      <c r="W71" s="200"/>
      <c r="X71" s="201"/>
      <c r="Y71" s="201"/>
      <c r="Z71" s="201"/>
      <c r="AA71" s="202"/>
      <c r="AB71" s="200"/>
      <c r="AC71" s="203"/>
    </row>
    <row r="72" spans="1:29" s="46" customFormat="1" ht="18" customHeight="1" x14ac:dyDescent="0.25">
      <c r="A72" s="743"/>
      <c r="B72" s="717"/>
      <c r="C72" s="727"/>
      <c r="D72" s="732"/>
      <c r="E72" s="734"/>
      <c r="F72" s="76"/>
      <c r="G72" s="186"/>
      <c r="H72" s="228"/>
      <c r="I72" s="88" t="s">
        <v>364</v>
      </c>
      <c r="J72" s="89">
        <v>25</v>
      </c>
      <c r="K72" s="90"/>
      <c r="L72" s="229"/>
      <c r="M72" s="92" t="s">
        <v>486</v>
      </c>
      <c r="N72" s="93"/>
      <c r="O72" s="94"/>
      <c r="P72" s="89" t="s">
        <v>366</v>
      </c>
      <c r="Q72" s="225" t="s">
        <v>551</v>
      </c>
      <c r="R72" s="95" t="s">
        <v>365</v>
      </c>
      <c r="S72" s="72">
        <f t="shared" si="4"/>
        <v>0</v>
      </c>
      <c r="T72" s="72">
        <f t="shared" si="0"/>
        <v>0</v>
      </c>
      <c r="U72" s="96">
        <v>0</v>
      </c>
      <c r="V72" s="97">
        <v>0</v>
      </c>
      <c r="W72" s="200"/>
      <c r="X72" s="201"/>
      <c r="Y72" s="201"/>
      <c r="Z72" s="201"/>
      <c r="AA72" s="202"/>
      <c r="AB72" s="200"/>
      <c r="AC72" s="203"/>
    </row>
    <row r="73" spans="1:29" s="46" customFormat="1" ht="18" customHeight="1" x14ac:dyDescent="0.25">
      <c r="A73" s="743"/>
      <c r="B73" s="717"/>
      <c r="C73" s="727"/>
      <c r="D73" s="732"/>
      <c r="E73" s="734"/>
      <c r="F73" s="76"/>
      <c r="G73" s="186"/>
      <c r="H73" s="76"/>
      <c r="I73" s="79" t="s">
        <v>418</v>
      </c>
      <c r="J73" s="80">
        <v>100</v>
      </c>
      <c r="K73" s="81"/>
      <c r="L73" s="230"/>
      <c r="M73" s="83" t="s">
        <v>486</v>
      </c>
      <c r="N73" s="80">
        <v>87</v>
      </c>
      <c r="O73" s="79">
        <v>5</v>
      </c>
      <c r="P73" s="80" t="s">
        <v>366</v>
      </c>
      <c r="Q73" s="81"/>
      <c r="R73" s="85" t="s">
        <v>488</v>
      </c>
      <c r="S73" s="72">
        <f t="shared" si="4"/>
        <v>29</v>
      </c>
      <c r="T73" s="72">
        <f t="shared" si="0"/>
        <v>10</v>
      </c>
      <c r="U73" s="72">
        <f t="shared" si="1"/>
        <v>2</v>
      </c>
      <c r="V73" s="86">
        <f t="shared" ref="V73:V135" si="5">ROUND(U73/3,0)</f>
        <v>1</v>
      </c>
      <c r="W73" s="200"/>
      <c r="X73" s="201"/>
      <c r="Y73" s="201"/>
      <c r="Z73" s="201"/>
      <c r="AA73" s="202"/>
      <c r="AB73" s="200"/>
      <c r="AC73" s="203"/>
    </row>
    <row r="74" spans="1:29" s="46" customFormat="1" ht="18" customHeight="1" x14ac:dyDescent="0.25">
      <c r="A74" s="743"/>
      <c r="B74" s="717"/>
      <c r="C74" s="727"/>
      <c r="D74" s="732"/>
      <c r="E74" s="734"/>
      <c r="F74" s="76"/>
      <c r="G74" s="186"/>
      <c r="H74" s="76"/>
      <c r="I74" s="88" t="s">
        <v>331</v>
      </c>
      <c r="J74" s="89">
        <v>16</v>
      </c>
      <c r="K74" s="90"/>
      <c r="L74" s="229"/>
      <c r="M74" s="92" t="s">
        <v>486</v>
      </c>
      <c r="N74" s="89">
        <v>0</v>
      </c>
      <c r="O74" s="88">
        <v>1</v>
      </c>
      <c r="P74" s="89" t="s">
        <v>366</v>
      </c>
      <c r="Q74" s="88" t="s">
        <v>563</v>
      </c>
      <c r="R74" s="95" t="s">
        <v>449</v>
      </c>
      <c r="S74" s="72">
        <f t="shared" si="4"/>
        <v>0</v>
      </c>
      <c r="T74" s="72">
        <f t="shared" ref="T74:T137" si="6">ROUND(S74/3,0)</f>
        <v>0</v>
      </c>
      <c r="U74" s="95">
        <v>1</v>
      </c>
      <c r="V74" s="89">
        <v>1</v>
      </c>
      <c r="W74" s="200"/>
      <c r="X74" s="201"/>
      <c r="Y74" s="201"/>
      <c r="Z74" s="201"/>
      <c r="AA74" s="202"/>
      <c r="AB74" s="200"/>
      <c r="AC74" s="203"/>
    </row>
    <row r="75" spans="1:29" s="46" customFormat="1" ht="18" customHeight="1" x14ac:dyDescent="0.25">
      <c r="A75" s="743"/>
      <c r="B75" s="717"/>
      <c r="C75" s="727"/>
      <c r="D75" s="732"/>
      <c r="E75" s="734"/>
      <c r="F75" s="249"/>
      <c r="G75" s="186"/>
      <c r="H75" s="76"/>
      <c r="I75" s="88" t="s">
        <v>564</v>
      </c>
      <c r="J75" s="89">
        <v>25</v>
      </c>
      <c r="K75" s="90"/>
      <c r="L75" s="229"/>
      <c r="M75" s="92" t="s">
        <v>486</v>
      </c>
      <c r="N75" s="89">
        <v>0</v>
      </c>
      <c r="O75" s="88">
        <v>1</v>
      </c>
      <c r="P75" s="89" t="s">
        <v>366</v>
      </c>
      <c r="Q75" s="88" t="s">
        <v>563</v>
      </c>
      <c r="R75" s="95" t="s">
        <v>565</v>
      </c>
      <c r="S75" s="72">
        <f t="shared" si="4"/>
        <v>0</v>
      </c>
      <c r="T75" s="72">
        <f t="shared" si="6"/>
        <v>0</v>
      </c>
      <c r="U75" s="95">
        <v>1</v>
      </c>
      <c r="V75" s="89">
        <v>1</v>
      </c>
      <c r="W75" s="200"/>
      <c r="X75" s="201"/>
      <c r="Y75" s="201"/>
      <c r="Z75" s="201"/>
      <c r="AA75" s="202"/>
      <c r="AB75" s="200"/>
      <c r="AC75" s="203"/>
    </row>
    <row r="76" spans="1:29" s="46" customFormat="1" ht="18" customHeight="1" thickBot="1" x14ac:dyDescent="0.3">
      <c r="A76" s="743"/>
      <c r="B76" s="717"/>
      <c r="C76" s="727"/>
      <c r="D76" s="732"/>
      <c r="E76" s="734"/>
      <c r="F76" s="76"/>
      <c r="G76" s="186"/>
      <c r="H76" s="98"/>
      <c r="I76" s="208" t="s">
        <v>443</v>
      </c>
      <c r="J76" s="209">
        <v>160</v>
      </c>
      <c r="K76" s="210"/>
      <c r="L76" s="234"/>
      <c r="M76" s="212" t="s">
        <v>486</v>
      </c>
      <c r="N76" s="209">
        <v>0</v>
      </c>
      <c r="O76" s="208">
        <v>1</v>
      </c>
      <c r="P76" s="209" t="s">
        <v>566</v>
      </c>
      <c r="Q76" s="208" t="s">
        <v>567</v>
      </c>
      <c r="R76" s="213" t="s">
        <v>488</v>
      </c>
      <c r="S76" s="72">
        <f t="shared" si="4"/>
        <v>0</v>
      </c>
      <c r="T76" s="72">
        <f t="shared" si="6"/>
        <v>0</v>
      </c>
      <c r="U76" s="73">
        <v>1</v>
      </c>
      <c r="V76" s="74">
        <v>1</v>
      </c>
      <c r="W76" s="200"/>
      <c r="X76" s="201"/>
      <c r="Y76" s="201"/>
      <c r="Z76" s="201"/>
      <c r="AA76" s="202"/>
      <c r="AB76" s="200"/>
      <c r="AC76" s="203"/>
    </row>
    <row r="77" spans="1:29" s="46" customFormat="1" ht="18" customHeight="1" x14ac:dyDescent="0.25">
      <c r="A77" s="743"/>
      <c r="B77" s="717"/>
      <c r="C77" s="727"/>
      <c r="D77" s="732"/>
      <c r="E77" s="734"/>
      <c r="F77" s="76"/>
      <c r="G77" s="186"/>
      <c r="H77" s="736" t="s">
        <v>568</v>
      </c>
      <c r="I77" s="67" t="s">
        <v>335</v>
      </c>
      <c r="J77" s="68">
        <v>100</v>
      </c>
      <c r="K77" s="178"/>
      <c r="L77" s="243"/>
      <c r="M77" s="70" t="s">
        <v>486</v>
      </c>
      <c r="N77" s="68">
        <v>120</v>
      </c>
      <c r="O77" s="67">
        <v>3</v>
      </c>
      <c r="P77" s="68" t="s">
        <v>569</v>
      </c>
      <c r="Q77" s="178"/>
      <c r="R77" s="71" t="s">
        <v>488</v>
      </c>
      <c r="S77" s="72">
        <f t="shared" si="4"/>
        <v>40</v>
      </c>
      <c r="T77" s="72">
        <f t="shared" si="6"/>
        <v>13</v>
      </c>
      <c r="U77" s="72">
        <f t="shared" ref="U77:U137" si="7">ROUND(O77/3,0)</f>
        <v>1</v>
      </c>
      <c r="V77" s="86">
        <f t="shared" si="5"/>
        <v>0</v>
      </c>
      <c r="W77" s="200"/>
      <c r="X77" s="201"/>
      <c r="Y77" s="201"/>
      <c r="Z77" s="201"/>
      <c r="AA77" s="203"/>
      <c r="AB77" s="200"/>
      <c r="AC77" s="203"/>
    </row>
    <row r="78" spans="1:29" s="46" customFormat="1" ht="18" customHeight="1" x14ac:dyDescent="0.25">
      <c r="A78" s="743"/>
      <c r="B78" s="717"/>
      <c r="C78" s="727"/>
      <c r="D78" s="732"/>
      <c r="E78" s="734"/>
      <c r="F78" s="76"/>
      <c r="G78" s="186"/>
      <c r="H78" s="737"/>
      <c r="I78" s="79" t="s">
        <v>336</v>
      </c>
      <c r="J78" s="80">
        <v>100</v>
      </c>
      <c r="K78" s="81"/>
      <c r="L78" s="230"/>
      <c r="M78" s="83" t="s">
        <v>486</v>
      </c>
      <c r="N78" s="80">
        <v>69</v>
      </c>
      <c r="O78" s="79">
        <v>4</v>
      </c>
      <c r="P78" s="80" t="s">
        <v>569</v>
      </c>
      <c r="Q78" s="81"/>
      <c r="R78" s="85" t="s">
        <v>488</v>
      </c>
      <c r="S78" s="72">
        <f t="shared" si="4"/>
        <v>23</v>
      </c>
      <c r="T78" s="72">
        <f t="shared" si="6"/>
        <v>8</v>
      </c>
      <c r="U78" s="72">
        <f t="shared" si="7"/>
        <v>1</v>
      </c>
      <c r="V78" s="86">
        <f t="shared" si="5"/>
        <v>0</v>
      </c>
      <c r="W78" s="200"/>
      <c r="X78" s="201"/>
      <c r="Y78" s="201"/>
      <c r="Z78" s="201"/>
      <c r="AA78" s="202"/>
      <c r="AB78" s="200"/>
      <c r="AC78" s="203"/>
    </row>
    <row r="79" spans="1:29" s="46" customFormat="1" ht="18" customHeight="1" x14ac:dyDescent="0.25">
      <c r="A79" s="743"/>
      <c r="B79" s="717"/>
      <c r="C79" s="727"/>
      <c r="D79" s="732"/>
      <c r="E79" s="734"/>
      <c r="F79" s="76"/>
      <c r="G79" s="186"/>
      <c r="H79" s="737"/>
      <c r="I79" s="88" t="s">
        <v>332</v>
      </c>
      <c r="J79" s="89">
        <v>63</v>
      </c>
      <c r="K79" s="90"/>
      <c r="L79" s="229"/>
      <c r="M79" s="92" t="s">
        <v>486</v>
      </c>
      <c r="N79" s="89">
        <v>0</v>
      </c>
      <c r="O79" s="88">
        <v>1</v>
      </c>
      <c r="P79" s="89" t="s">
        <v>391</v>
      </c>
      <c r="Q79" s="88" t="s">
        <v>551</v>
      </c>
      <c r="R79" s="95" t="s">
        <v>570</v>
      </c>
      <c r="S79" s="72">
        <f t="shared" si="4"/>
        <v>0</v>
      </c>
      <c r="T79" s="72">
        <f t="shared" si="6"/>
        <v>0</v>
      </c>
      <c r="U79" s="95">
        <v>1</v>
      </c>
      <c r="V79" s="89">
        <v>1</v>
      </c>
      <c r="W79" s="200"/>
      <c r="X79" s="201"/>
      <c r="Y79" s="201"/>
      <c r="Z79" s="201"/>
      <c r="AA79" s="202"/>
      <c r="AB79" s="200"/>
      <c r="AC79" s="203"/>
    </row>
    <row r="80" spans="1:29" s="46" customFormat="1" ht="18" customHeight="1" x14ac:dyDescent="0.25">
      <c r="A80" s="743"/>
      <c r="B80" s="717"/>
      <c r="C80" s="727"/>
      <c r="D80" s="732"/>
      <c r="E80" s="734"/>
      <c r="F80" s="76"/>
      <c r="G80" s="186"/>
      <c r="H80" s="737"/>
      <c r="I80" s="88" t="s">
        <v>389</v>
      </c>
      <c r="J80" s="89">
        <v>63</v>
      </c>
      <c r="K80" s="90"/>
      <c r="L80" s="229"/>
      <c r="M80" s="92" t="s">
        <v>486</v>
      </c>
      <c r="N80" s="89">
        <v>0</v>
      </c>
      <c r="O80" s="88">
        <v>1</v>
      </c>
      <c r="P80" s="89" t="s">
        <v>391</v>
      </c>
      <c r="Q80" s="90"/>
      <c r="R80" s="95" t="s">
        <v>570</v>
      </c>
      <c r="S80" s="72">
        <f t="shared" si="4"/>
        <v>0</v>
      </c>
      <c r="T80" s="72">
        <f t="shared" si="6"/>
        <v>0</v>
      </c>
      <c r="U80" s="95">
        <v>1</v>
      </c>
      <c r="V80" s="89">
        <v>1</v>
      </c>
      <c r="W80" s="200"/>
      <c r="X80" s="201"/>
      <c r="Y80" s="201"/>
      <c r="Z80" s="201"/>
      <c r="AA80" s="202"/>
      <c r="AB80" s="200"/>
      <c r="AC80" s="203"/>
    </row>
    <row r="81" spans="1:29" s="46" customFormat="1" ht="18" customHeight="1" x14ac:dyDescent="0.25">
      <c r="A81" s="743"/>
      <c r="B81" s="717"/>
      <c r="C81" s="727"/>
      <c r="D81" s="732"/>
      <c r="E81" s="734"/>
      <c r="F81" s="76"/>
      <c r="G81" s="186"/>
      <c r="H81" s="737"/>
      <c r="I81" s="88" t="s">
        <v>390</v>
      </c>
      <c r="J81" s="89">
        <v>63</v>
      </c>
      <c r="K81" s="90"/>
      <c r="L81" s="229"/>
      <c r="M81" s="92" t="s">
        <v>486</v>
      </c>
      <c r="N81" s="89">
        <v>0</v>
      </c>
      <c r="O81" s="88">
        <v>1</v>
      </c>
      <c r="P81" s="89" t="s">
        <v>391</v>
      </c>
      <c r="Q81" s="88" t="s">
        <v>571</v>
      </c>
      <c r="R81" s="95" t="s">
        <v>572</v>
      </c>
      <c r="S81" s="72">
        <f t="shared" si="4"/>
        <v>0</v>
      </c>
      <c r="T81" s="72">
        <f t="shared" si="6"/>
        <v>0</v>
      </c>
      <c r="U81" s="95">
        <v>1</v>
      </c>
      <c r="V81" s="89">
        <v>1</v>
      </c>
      <c r="W81" s="200"/>
      <c r="X81" s="201"/>
      <c r="Y81" s="201"/>
      <c r="Z81" s="201"/>
      <c r="AA81" s="202"/>
      <c r="AB81" s="200"/>
      <c r="AC81" s="203"/>
    </row>
    <row r="82" spans="1:29" s="46" customFormat="1" ht="18" customHeight="1" x14ac:dyDescent="0.25">
      <c r="A82" s="743"/>
      <c r="B82" s="717"/>
      <c r="C82" s="727"/>
      <c r="D82" s="732"/>
      <c r="E82" s="734"/>
      <c r="F82" s="76"/>
      <c r="G82" s="186"/>
      <c r="H82" s="737"/>
      <c r="I82" s="88" t="s">
        <v>385</v>
      </c>
      <c r="J82" s="89">
        <v>250</v>
      </c>
      <c r="K82" s="90"/>
      <c r="L82" s="229"/>
      <c r="M82" s="92" t="s">
        <v>486</v>
      </c>
      <c r="N82" s="89">
        <v>0</v>
      </c>
      <c r="O82" s="88">
        <v>1</v>
      </c>
      <c r="P82" s="89" t="s">
        <v>391</v>
      </c>
      <c r="Q82" s="88" t="s">
        <v>573</v>
      </c>
      <c r="R82" s="95" t="s">
        <v>574</v>
      </c>
      <c r="S82" s="72">
        <f t="shared" si="4"/>
        <v>0</v>
      </c>
      <c r="T82" s="72">
        <f t="shared" si="6"/>
        <v>0</v>
      </c>
      <c r="U82" s="95">
        <v>1</v>
      </c>
      <c r="V82" s="89">
        <v>1</v>
      </c>
      <c r="W82" s="200"/>
      <c r="X82" s="201"/>
      <c r="Y82" s="201"/>
      <c r="Z82" s="201"/>
      <c r="AA82" s="202"/>
      <c r="AB82" s="200"/>
      <c r="AC82" s="203"/>
    </row>
    <row r="83" spans="1:29" s="46" customFormat="1" ht="18" customHeight="1" x14ac:dyDescent="0.25">
      <c r="A83" s="743"/>
      <c r="B83" s="717"/>
      <c r="C83" s="727"/>
      <c r="D83" s="732"/>
      <c r="E83" s="734"/>
      <c r="F83" s="76"/>
      <c r="G83" s="186"/>
      <c r="H83" s="737"/>
      <c r="I83" s="79" t="s">
        <v>333</v>
      </c>
      <c r="J83" s="80">
        <v>100</v>
      </c>
      <c r="K83" s="81"/>
      <c r="L83" s="230"/>
      <c r="M83" s="83" t="s">
        <v>486</v>
      </c>
      <c r="N83" s="80">
        <v>121</v>
      </c>
      <c r="O83" s="79">
        <v>1</v>
      </c>
      <c r="P83" s="80" t="s">
        <v>391</v>
      </c>
      <c r="Q83" s="81"/>
      <c r="R83" s="85" t="s">
        <v>488</v>
      </c>
      <c r="S83" s="72">
        <f t="shared" si="4"/>
        <v>40</v>
      </c>
      <c r="T83" s="72">
        <f t="shared" si="6"/>
        <v>13</v>
      </c>
      <c r="U83" s="72">
        <f t="shared" si="7"/>
        <v>0</v>
      </c>
      <c r="V83" s="86">
        <f t="shared" si="5"/>
        <v>0</v>
      </c>
      <c r="W83" s="200"/>
      <c r="X83" s="201"/>
      <c r="Y83" s="201"/>
      <c r="Z83" s="201"/>
      <c r="AA83" s="202"/>
      <c r="AB83" s="200"/>
      <c r="AC83" s="203"/>
    </row>
    <row r="84" spans="1:29" s="46" customFormat="1" ht="18" customHeight="1" thickBot="1" x14ac:dyDescent="0.3">
      <c r="A84" s="743"/>
      <c r="B84" s="717"/>
      <c r="C84" s="727"/>
      <c r="D84" s="732"/>
      <c r="E84" s="734"/>
      <c r="F84" s="190"/>
      <c r="G84" s="191"/>
      <c r="H84" s="738"/>
      <c r="I84" s="179" t="s">
        <v>334</v>
      </c>
      <c r="J84" s="180">
        <v>160</v>
      </c>
      <c r="K84" s="181"/>
      <c r="L84" s="238"/>
      <c r="M84" s="183" t="s">
        <v>486</v>
      </c>
      <c r="N84" s="180">
        <v>182</v>
      </c>
      <c r="O84" s="179">
        <v>10</v>
      </c>
      <c r="P84" s="180" t="s">
        <v>391</v>
      </c>
      <c r="Q84" s="181"/>
      <c r="R84" s="184" t="s">
        <v>488</v>
      </c>
      <c r="S84" s="72">
        <f t="shared" si="4"/>
        <v>61</v>
      </c>
      <c r="T84" s="72">
        <f t="shared" si="6"/>
        <v>20</v>
      </c>
      <c r="U84" s="72">
        <f t="shared" si="7"/>
        <v>3</v>
      </c>
      <c r="V84" s="86">
        <f t="shared" si="5"/>
        <v>1</v>
      </c>
      <c r="W84" s="200"/>
      <c r="X84" s="201"/>
      <c r="Y84" s="201"/>
      <c r="Z84" s="201"/>
      <c r="AA84" s="202"/>
      <c r="AB84" s="200"/>
      <c r="AC84" s="203"/>
    </row>
    <row r="85" spans="1:29" s="46" customFormat="1" ht="18" customHeight="1" x14ac:dyDescent="0.25">
      <c r="A85" s="743"/>
      <c r="B85" s="717"/>
      <c r="C85" s="728"/>
      <c r="D85" s="739" t="s">
        <v>575</v>
      </c>
      <c r="E85" s="734"/>
      <c r="F85" s="64"/>
      <c r="G85" s="185"/>
      <c r="H85" s="64"/>
      <c r="I85" s="67" t="s">
        <v>414</v>
      </c>
      <c r="J85" s="68">
        <v>160</v>
      </c>
      <c r="K85" s="178"/>
      <c r="L85" s="243"/>
      <c r="M85" s="70" t="s">
        <v>486</v>
      </c>
      <c r="N85" s="68">
        <v>163</v>
      </c>
      <c r="O85" s="67">
        <v>11</v>
      </c>
      <c r="P85" s="68" t="s">
        <v>566</v>
      </c>
      <c r="Q85" s="178"/>
      <c r="R85" s="71" t="s">
        <v>488</v>
      </c>
      <c r="S85" s="72">
        <f t="shared" ref="S85:S148" si="8">ROUND(N85/3,0)</f>
        <v>54</v>
      </c>
      <c r="T85" s="72">
        <f t="shared" si="6"/>
        <v>18</v>
      </c>
      <c r="U85" s="72">
        <f t="shared" si="7"/>
        <v>4</v>
      </c>
      <c r="V85" s="86">
        <f t="shared" si="5"/>
        <v>1</v>
      </c>
    </row>
    <row r="86" spans="1:29" s="46" customFormat="1" ht="18" customHeight="1" thickBot="1" x14ac:dyDescent="0.3">
      <c r="A86" s="743"/>
      <c r="B86" s="717"/>
      <c r="C86" s="728"/>
      <c r="D86" s="740"/>
      <c r="E86" s="734"/>
      <c r="F86" s="76"/>
      <c r="G86" s="186"/>
      <c r="H86" s="98"/>
      <c r="I86" s="208" t="s">
        <v>339</v>
      </c>
      <c r="J86" s="209">
        <v>100</v>
      </c>
      <c r="K86" s="210"/>
      <c r="L86" s="234"/>
      <c r="M86" s="212" t="s">
        <v>486</v>
      </c>
      <c r="N86" s="209">
        <v>44</v>
      </c>
      <c r="O86" s="208">
        <v>1</v>
      </c>
      <c r="P86" s="209" t="s">
        <v>566</v>
      </c>
      <c r="Q86" s="210"/>
      <c r="R86" s="213" t="s">
        <v>488</v>
      </c>
      <c r="S86" s="72">
        <f t="shared" si="8"/>
        <v>15</v>
      </c>
      <c r="T86" s="72">
        <f t="shared" si="6"/>
        <v>5</v>
      </c>
      <c r="U86" s="72">
        <f t="shared" si="7"/>
        <v>0</v>
      </c>
      <c r="V86" s="86">
        <f t="shared" si="5"/>
        <v>0</v>
      </c>
    </row>
    <row r="87" spans="1:29" s="46" customFormat="1" ht="18" customHeight="1" x14ac:dyDescent="0.25">
      <c r="A87" s="743"/>
      <c r="B87" s="717"/>
      <c r="C87" s="728"/>
      <c r="D87" s="740"/>
      <c r="E87" s="734"/>
      <c r="F87" s="76"/>
      <c r="G87" s="186"/>
      <c r="H87" s="733" t="s">
        <v>576</v>
      </c>
      <c r="I87" s="67" t="s">
        <v>337</v>
      </c>
      <c r="J87" s="68">
        <v>100</v>
      </c>
      <c r="K87" s="178"/>
      <c r="L87" s="243"/>
      <c r="M87" s="70" t="s">
        <v>486</v>
      </c>
      <c r="N87" s="68">
        <v>54</v>
      </c>
      <c r="O87" s="67">
        <v>2</v>
      </c>
      <c r="P87" s="68" t="s">
        <v>338</v>
      </c>
      <c r="Q87" s="178"/>
      <c r="R87" s="71" t="s">
        <v>488</v>
      </c>
      <c r="S87" s="72">
        <f t="shared" si="8"/>
        <v>18</v>
      </c>
      <c r="T87" s="72">
        <f t="shared" si="6"/>
        <v>6</v>
      </c>
      <c r="U87" s="72">
        <f t="shared" si="7"/>
        <v>1</v>
      </c>
      <c r="V87" s="86">
        <f t="shared" si="5"/>
        <v>0</v>
      </c>
    </row>
    <row r="88" spans="1:29" s="46" customFormat="1" ht="18" customHeight="1" x14ac:dyDescent="0.25">
      <c r="A88" s="743"/>
      <c r="B88" s="717"/>
      <c r="C88" s="728"/>
      <c r="D88" s="740"/>
      <c r="E88" s="734"/>
      <c r="F88" s="76"/>
      <c r="G88" s="186"/>
      <c r="H88" s="734"/>
      <c r="I88" s="79" t="s">
        <v>342</v>
      </c>
      <c r="J88" s="80">
        <v>100</v>
      </c>
      <c r="K88" s="81"/>
      <c r="L88" s="230"/>
      <c r="M88" s="83" t="s">
        <v>486</v>
      </c>
      <c r="N88" s="80">
        <v>68</v>
      </c>
      <c r="O88" s="79">
        <v>0</v>
      </c>
      <c r="P88" s="80" t="s">
        <v>338</v>
      </c>
      <c r="Q88" s="81"/>
      <c r="R88" s="85" t="s">
        <v>488</v>
      </c>
      <c r="S88" s="72">
        <f t="shared" si="8"/>
        <v>23</v>
      </c>
      <c r="T88" s="72">
        <f t="shared" si="6"/>
        <v>8</v>
      </c>
      <c r="U88" s="72">
        <f t="shared" si="7"/>
        <v>0</v>
      </c>
      <c r="V88" s="86">
        <f t="shared" si="5"/>
        <v>0</v>
      </c>
    </row>
    <row r="89" spans="1:29" s="46" customFormat="1" ht="18" customHeight="1" x14ac:dyDescent="0.25">
      <c r="A89" s="743"/>
      <c r="B89" s="717"/>
      <c r="C89" s="728"/>
      <c r="D89" s="740"/>
      <c r="E89" s="734"/>
      <c r="F89" s="76"/>
      <c r="G89" s="187"/>
      <c r="H89" s="734"/>
      <c r="I89" s="79" t="s">
        <v>446</v>
      </c>
      <c r="J89" s="80">
        <v>250</v>
      </c>
      <c r="K89" s="79">
        <v>250</v>
      </c>
      <c r="L89" s="230"/>
      <c r="M89" s="83" t="s">
        <v>486</v>
      </c>
      <c r="N89" s="80">
        <v>0</v>
      </c>
      <c r="O89" s="79">
        <v>2</v>
      </c>
      <c r="P89" s="80" t="s">
        <v>338</v>
      </c>
      <c r="Q89" s="81"/>
      <c r="R89" s="85" t="s">
        <v>488</v>
      </c>
      <c r="S89" s="72">
        <f t="shared" si="8"/>
        <v>0</v>
      </c>
      <c r="T89" s="72">
        <f t="shared" si="6"/>
        <v>0</v>
      </c>
      <c r="U89" s="73">
        <v>2</v>
      </c>
      <c r="V89" s="74">
        <v>2</v>
      </c>
    </row>
    <row r="90" spans="1:29" s="46" customFormat="1" ht="18" customHeight="1" x14ac:dyDescent="0.25">
      <c r="A90" s="743"/>
      <c r="B90" s="717"/>
      <c r="C90" s="728"/>
      <c r="D90" s="740"/>
      <c r="E90" s="734"/>
      <c r="F90" s="76"/>
      <c r="G90" s="186"/>
      <c r="H90" s="734"/>
      <c r="I90" s="79" t="s">
        <v>349</v>
      </c>
      <c r="J90" s="80">
        <v>160</v>
      </c>
      <c r="K90" s="81"/>
      <c r="L90" s="230"/>
      <c r="M90" s="83" t="s">
        <v>486</v>
      </c>
      <c r="N90" s="80">
        <v>135</v>
      </c>
      <c r="O90" s="79">
        <v>1</v>
      </c>
      <c r="P90" s="80" t="s">
        <v>338</v>
      </c>
      <c r="Q90" s="81"/>
      <c r="R90" s="85" t="s">
        <v>488</v>
      </c>
      <c r="S90" s="72">
        <f t="shared" si="8"/>
        <v>45</v>
      </c>
      <c r="T90" s="72">
        <f t="shared" si="6"/>
        <v>15</v>
      </c>
      <c r="U90" s="85">
        <v>1</v>
      </c>
      <c r="V90" s="86">
        <f t="shared" si="5"/>
        <v>0</v>
      </c>
    </row>
    <row r="91" spans="1:29" s="46" customFormat="1" ht="18" customHeight="1" x14ac:dyDescent="0.25">
      <c r="A91" s="743"/>
      <c r="B91" s="717"/>
      <c r="C91" s="728"/>
      <c r="D91" s="740"/>
      <c r="E91" s="734"/>
      <c r="F91" s="76"/>
      <c r="G91" s="250"/>
      <c r="H91" s="734"/>
      <c r="I91" s="79" t="s">
        <v>343</v>
      </c>
      <c r="J91" s="80">
        <v>160</v>
      </c>
      <c r="K91" s="81"/>
      <c r="L91" s="230"/>
      <c r="M91" s="83" t="s">
        <v>486</v>
      </c>
      <c r="N91" s="80">
        <v>118</v>
      </c>
      <c r="O91" s="79">
        <v>8</v>
      </c>
      <c r="P91" s="80" t="s">
        <v>338</v>
      </c>
      <c r="Q91" s="81"/>
      <c r="R91" s="85" t="s">
        <v>488</v>
      </c>
      <c r="S91" s="72">
        <f t="shared" si="8"/>
        <v>39</v>
      </c>
      <c r="T91" s="72">
        <f t="shared" si="6"/>
        <v>13</v>
      </c>
      <c r="U91" s="72">
        <f t="shared" si="7"/>
        <v>3</v>
      </c>
      <c r="V91" s="86">
        <f t="shared" si="5"/>
        <v>1</v>
      </c>
    </row>
    <row r="92" spans="1:29" s="46" customFormat="1" ht="18" customHeight="1" x14ac:dyDescent="0.25">
      <c r="A92" s="743"/>
      <c r="B92" s="717"/>
      <c r="C92" s="728"/>
      <c r="D92" s="740"/>
      <c r="E92" s="734"/>
      <c r="F92" s="76"/>
      <c r="G92" s="186"/>
      <c r="H92" s="734"/>
      <c r="I92" s="79" t="s">
        <v>577</v>
      </c>
      <c r="J92" s="251">
        <v>100</v>
      </c>
      <c r="K92" s="81"/>
      <c r="L92" s="230"/>
      <c r="M92" s="83" t="s">
        <v>486</v>
      </c>
      <c r="N92" s="80">
        <v>54</v>
      </c>
      <c r="O92" s="79">
        <v>1</v>
      </c>
      <c r="P92" s="80" t="s">
        <v>338</v>
      </c>
      <c r="Q92" s="81"/>
      <c r="R92" s="85" t="s">
        <v>488</v>
      </c>
      <c r="S92" s="72">
        <f t="shared" si="8"/>
        <v>18</v>
      </c>
      <c r="T92" s="72">
        <f t="shared" si="6"/>
        <v>6</v>
      </c>
      <c r="U92" s="72">
        <f t="shared" si="7"/>
        <v>0</v>
      </c>
      <c r="V92" s="86">
        <f t="shared" si="5"/>
        <v>0</v>
      </c>
    </row>
    <row r="93" spans="1:29" s="46" customFormat="1" ht="18" customHeight="1" x14ac:dyDescent="0.25">
      <c r="A93" s="743"/>
      <c r="B93" s="717"/>
      <c r="C93" s="728"/>
      <c r="D93" s="740"/>
      <c r="E93" s="734"/>
      <c r="F93" s="76"/>
      <c r="G93" s="186"/>
      <c r="H93" s="734"/>
      <c r="I93" s="252" t="s">
        <v>578</v>
      </c>
      <c r="J93" s="253">
        <v>25</v>
      </c>
      <c r="K93" s="254"/>
      <c r="L93" s="255"/>
      <c r="M93" s="256" t="s">
        <v>486</v>
      </c>
      <c r="N93" s="253">
        <v>0</v>
      </c>
      <c r="O93" s="252">
        <v>1</v>
      </c>
      <c r="P93" s="253" t="s">
        <v>338</v>
      </c>
      <c r="Q93" s="252" t="s">
        <v>579</v>
      </c>
      <c r="R93" s="257" t="s">
        <v>580</v>
      </c>
      <c r="S93" s="72">
        <f t="shared" si="8"/>
        <v>0</v>
      </c>
      <c r="T93" s="72">
        <f t="shared" si="6"/>
        <v>0</v>
      </c>
      <c r="U93" s="257">
        <v>1</v>
      </c>
      <c r="V93" s="253">
        <v>1</v>
      </c>
    </row>
    <row r="94" spans="1:29" s="46" customFormat="1" ht="18" customHeight="1" thickBot="1" x14ac:dyDescent="0.3">
      <c r="A94" s="743"/>
      <c r="B94" s="717"/>
      <c r="C94" s="728"/>
      <c r="D94" s="740"/>
      <c r="E94" s="734"/>
      <c r="F94" s="76"/>
      <c r="G94" s="186"/>
      <c r="H94" s="735"/>
      <c r="I94" s="179" t="s">
        <v>375</v>
      </c>
      <c r="J94" s="258">
        <v>160</v>
      </c>
      <c r="K94" s="181"/>
      <c r="L94" s="238"/>
      <c r="M94" s="215" t="s">
        <v>486</v>
      </c>
      <c r="N94" s="180">
        <v>105</v>
      </c>
      <c r="O94" s="179">
        <v>2</v>
      </c>
      <c r="P94" s="180" t="s">
        <v>581</v>
      </c>
      <c r="Q94" s="181"/>
      <c r="R94" s="184" t="s">
        <v>488</v>
      </c>
      <c r="S94" s="72">
        <f t="shared" si="8"/>
        <v>35</v>
      </c>
      <c r="T94" s="72">
        <f t="shared" si="6"/>
        <v>12</v>
      </c>
      <c r="U94" s="72">
        <f t="shared" si="7"/>
        <v>1</v>
      </c>
      <c r="V94" s="86">
        <f t="shared" si="5"/>
        <v>0</v>
      </c>
    </row>
    <row r="95" spans="1:29" s="46" customFormat="1" ht="18" customHeight="1" thickBot="1" x14ac:dyDescent="0.3">
      <c r="A95" s="743"/>
      <c r="B95" s="717"/>
      <c r="C95" s="728"/>
      <c r="D95" s="740"/>
      <c r="E95" s="734"/>
      <c r="F95" s="76"/>
      <c r="G95" s="232"/>
      <c r="H95" s="133"/>
      <c r="I95" s="259" t="s">
        <v>582</v>
      </c>
      <c r="J95" s="259">
        <v>50</v>
      </c>
      <c r="K95" s="260"/>
      <c r="L95" s="260"/>
      <c r="M95" s="261" t="s">
        <v>486</v>
      </c>
      <c r="N95" s="259">
        <v>0</v>
      </c>
      <c r="O95" s="259">
        <v>1</v>
      </c>
      <c r="P95" s="259" t="s">
        <v>583</v>
      </c>
      <c r="Q95" s="260"/>
      <c r="R95" s="259" t="s">
        <v>584</v>
      </c>
      <c r="S95" s="72">
        <f t="shared" si="8"/>
        <v>0</v>
      </c>
      <c r="T95" s="72">
        <f t="shared" si="6"/>
        <v>0</v>
      </c>
      <c r="U95" s="162">
        <v>1</v>
      </c>
      <c r="V95" s="163">
        <v>1</v>
      </c>
    </row>
    <row r="96" spans="1:29" s="46" customFormat="1" ht="18" customHeight="1" x14ac:dyDescent="0.25">
      <c r="A96" s="743"/>
      <c r="B96" s="717"/>
      <c r="C96" s="728"/>
      <c r="D96" s="740"/>
      <c r="E96" s="734"/>
      <c r="F96" s="76"/>
      <c r="G96" s="736" t="s">
        <v>585</v>
      </c>
      <c r="H96" s="64" t="s">
        <v>490</v>
      </c>
      <c r="I96" s="262" t="s">
        <v>340</v>
      </c>
      <c r="J96" s="263">
        <v>40</v>
      </c>
      <c r="K96" s="264"/>
      <c r="L96" s="265"/>
      <c r="M96" s="266" t="s">
        <v>486</v>
      </c>
      <c r="N96" s="267"/>
      <c r="O96" s="268"/>
      <c r="P96" s="263" t="s">
        <v>583</v>
      </c>
      <c r="Q96" s="262" t="s">
        <v>586</v>
      </c>
      <c r="R96" s="269" t="s">
        <v>587</v>
      </c>
      <c r="S96" s="72">
        <f t="shared" si="8"/>
        <v>0</v>
      </c>
      <c r="T96" s="72">
        <f t="shared" si="6"/>
        <v>0</v>
      </c>
      <c r="U96" s="248">
        <v>0</v>
      </c>
      <c r="V96" s="93">
        <v>0</v>
      </c>
    </row>
    <row r="97" spans="1:22" s="46" customFormat="1" ht="18" customHeight="1" x14ac:dyDescent="0.25">
      <c r="A97" s="743"/>
      <c r="B97" s="717"/>
      <c r="C97" s="728"/>
      <c r="D97" s="740"/>
      <c r="E97" s="734"/>
      <c r="F97" s="76"/>
      <c r="G97" s="737"/>
      <c r="H97" s="76"/>
      <c r="I97" s="88" t="s">
        <v>588</v>
      </c>
      <c r="J97" s="89">
        <v>16</v>
      </c>
      <c r="K97" s="90"/>
      <c r="L97" s="229"/>
      <c r="M97" s="92" t="s">
        <v>486</v>
      </c>
      <c r="N97" s="89">
        <v>0</v>
      </c>
      <c r="O97" s="88">
        <v>1</v>
      </c>
      <c r="P97" s="89" t="s">
        <v>583</v>
      </c>
      <c r="Q97" s="88" t="s">
        <v>589</v>
      </c>
      <c r="R97" s="95" t="s">
        <v>565</v>
      </c>
      <c r="S97" s="72">
        <f t="shared" si="8"/>
        <v>0</v>
      </c>
      <c r="T97" s="72">
        <f t="shared" si="6"/>
        <v>0</v>
      </c>
      <c r="U97" s="95">
        <v>1</v>
      </c>
      <c r="V97" s="89">
        <v>1</v>
      </c>
    </row>
    <row r="98" spans="1:22" s="46" customFormat="1" ht="18" customHeight="1" x14ac:dyDescent="0.25">
      <c r="A98" s="743"/>
      <c r="B98" s="717"/>
      <c r="C98" s="728"/>
      <c r="D98" s="740"/>
      <c r="E98" s="734"/>
      <c r="F98" s="76"/>
      <c r="G98" s="737"/>
      <c r="H98" s="76"/>
      <c r="I98" s="79" t="s">
        <v>381</v>
      </c>
      <c r="J98" s="80">
        <v>100</v>
      </c>
      <c r="K98" s="81"/>
      <c r="L98" s="230"/>
      <c r="M98" s="83" t="s">
        <v>486</v>
      </c>
      <c r="N98" s="93"/>
      <c r="O98" s="94"/>
      <c r="P98" s="80" t="s">
        <v>583</v>
      </c>
      <c r="Q98" s="79" t="s">
        <v>553</v>
      </c>
      <c r="R98" s="85" t="s">
        <v>488</v>
      </c>
      <c r="S98" s="72">
        <f t="shared" si="8"/>
        <v>0</v>
      </c>
      <c r="T98" s="72">
        <f t="shared" si="6"/>
        <v>0</v>
      </c>
      <c r="U98" s="248">
        <v>0</v>
      </c>
      <c r="V98" s="93">
        <v>0</v>
      </c>
    </row>
    <row r="99" spans="1:22" s="46" customFormat="1" ht="18" customHeight="1" x14ac:dyDescent="0.25">
      <c r="A99" s="743"/>
      <c r="B99" s="717"/>
      <c r="C99" s="728"/>
      <c r="D99" s="740"/>
      <c r="E99" s="734"/>
      <c r="F99" s="76"/>
      <c r="G99" s="737"/>
      <c r="H99" s="76"/>
      <c r="I99" s="88" t="s">
        <v>590</v>
      </c>
      <c r="J99" s="89">
        <v>250</v>
      </c>
      <c r="K99" s="88">
        <v>100</v>
      </c>
      <c r="L99" s="229"/>
      <c r="M99" s="92" t="s">
        <v>486</v>
      </c>
      <c r="N99" s="89">
        <v>0</v>
      </c>
      <c r="O99" s="88">
        <v>1</v>
      </c>
      <c r="P99" s="89" t="s">
        <v>583</v>
      </c>
      <c r="Q99" s="90"/>
      <c r="R99" s="95" t="s">
        <v>570</v>
      </c>
      <c r="S99" s="72">
        <f t="shared" si="8"/>
        <v>0</v>
      </c>
      <c r="T99" s="72">
        <f t="shared" si="6"/>
        <v>0</v>
      </c>
      <c r="U99" s="95">
        <v>1</v>
      </c>
      <c r="V99" s="89">
        <v>1</v>
      </c>
    </row>
    <row r="100" spans="1:22" s="46" customFormat="1" ht="18" customHeight="1" x14ac:dyDescent="0.25">
      <c r="A100" s="743"/>
      <c r="B100" s="717"/>
      <c r="C100" s="728"/>
      <c r="D100" s="740"/>
      <c r="E100" s="734"/>
      <c r="F100" s="76"/>
      <c r="G100" s="737"/>
      <c r="H100" s="76"/>
      <c r="I100" s="79" t="s">
        <v>427</v>
      </c>
      <c r="J100" s="80">
        <v>250</v>
      </c>
      <c r="K100" s="81"/>
      <c r="L100" s="230"/>
      <c r="M100" s="83" t="s">
        <v>486</v>
      </c>
      <c r="N100" s="80">
        <v>89</v>
      </c>
      <c r="O100" s="79">
        <v>8</v>
      </c>
      <c r="P100" s="80" t="s">
        <v>583</v>
      </c>
      <c r="Q100" s="81"/>
      <c r="R100" s="85" t="s">
        <v>488</v>
      </c>
      <c r="S100" s="72">
        <f t="shared" si="8"/>
        <v>30</v>
      </c>
      <c r="T100" s="72">
        <f t="shared" si="6"/>
        <v>10</v>
      </c>
      <c r="U100" s="72">
        <f t="shared" si="7"/>
        <v>3</v>
      </c>
      <c r="V100" s="86">
        <f t="shared" si="5"/>
        <v>1</v>
      </c>
    </row>
    <row r="101" spans="1:22" s="46" customFormat="1" ht="18" customHeight="1" x14ac:dyDescent="0.25">
      <c r="A101" s="743"/>
      <c r="B101" s="717"/>
      <c r="C101" s="728"/>
      <c r="D101" s="740"/>
      <c r="E101" s="734"/>
      <c r="F101" s="76"/>
      <c r="G101" s="737"/>
      <c r="H101" s="76"/>
      <c r="I101" s="79" t="s">
        <v>357</v>
      </c>
      <c r="J101" s="80">
        <v>160</v>
      </c>
      <c r="K101" s="81"/>
      <c r="L101" s="230"/>
      <c r="M101" s="83" t="s">
        <v>486</v>
      </c>
      <c r="N101" s="80">
        <v>105</v>
      </c>
      <c r="O101" s="79">
        <v>0</v>
      </c>
      <c r="P101" s="80" t="s">
        <v>583</v>
      </c>
      <c r="Q101" s="81"/>
      <c r="R101" s="85" t="s">
        <v>488</v>
      </c>
      <c r="S101" s="72">
        <f t="shared" si="8"/>
        <v>35</v>
      </c>
      <c r="T101" s="72">
        <f t="shared" si="6"/>
        <v>12</v>
      </c>
      <c r="U101" s="72">
        <f t="shared" si="7"/>
        <v>0</v>
      </c>
      <c r="V101" s="86">
        <f t="shared" si="5"/>
        <v>0</v>
      </c>
    </row>
    <row r="102" spans="1:22" s="46" customFormat="1" ht="18" customHeight="1" x14ac:dyDescent="0.25">
      <c r="A102" s="743"/>
      <c r="B102" s="717"/>
      <c r="C102" s="728"/>
      <c r="D102" s="740"/>
      <c r="E102" s="734"/>
      <c r="F102" s="76"/>
      <c r="G102" s="737"/>
      <c r="H102" s="76"/>
      <c r="I102" s="79" t="s">
        <v>426</v>
      </c>
      <c r="J102" s="80">
        <v>160</v>
      </c>
      <c r="K102" s="81"/>
      <c r="L102" s="230"/>
      <c r="M102" s="83" t="s">
        <v>486</v>
      </c>
      <c r="N102" s="80">
        <v>46</v>
      </c>
      <c r="O102" s="79">
        <v>5</v>
      </c>
      <c r="P102" s="80" t="s">
        <v>583</v>
      </c>
      <c r="Q102" s="81"/>
      <c r="R102" s="85" t="s">
        <v>488</v>
      </c>
      <c r="S102" s="72">
        <f t="shared" si="8"/>
        <v>15</v>
      </c>
      <c r="T102" s="72">
        <f t="shared" si="6"/>
        <v>5</v>
      </c>
      <c r="U102" s="72">
        <f t="shared" si="7"/>
        <v>2</v>
      </c>
      <c r="V102" s="86">
        <f t="shared" si="5"/>
        <v>1</v>
      </c>
    </row>
    <row r="103" spans="1:22" s="46" customFormat="1" ht="18" customHeight="1" thickBot="1" x14ac:dyDescent="0.3">
      <c r="A103" s="743"/>
      <c r="B103" s="717"/>
      <c r="C103" s="728"/>
      <c r="D103" s="740"/>
      <c r="E103" s="734"/>
      <c r="F103" s="76"/>
      <c r="G103" s="737"/>
      <c r="H103" s="98"/>
      <c r="I103" s="208" t="s">
        <v>353</v>
      </c>
      <c r="J103" s="209">
        <v>100</v>
      </c>
      <c r="K103" s="210"/>
      <c r="L103" s="234"/>
      <c r="M103" s="212" t="s">
        <v>486</v>
      </c>
      <c r="N103" s="209">
        <v>133</v>
      </c>
      <c r="O103" s="208">
        <v>0</v>
      </c>
      <c r="P103" s="209" t="s">
        <v>583</v>
      </c>
      <c r="Q103" s="210"/>
      <c r="R103" s="213" t="s">
        <v>488</v>
      </c>
      <c r="S103" s="72">
        <f t="shared" si="8"/>
        <v>44</v>
      </c>
      <c r="T103" s="72">
        <f t="shared" si="6"/>
        <v>15</v>
      </c>
      <c r="U103" s="72">
        <f t="shared" si="7"/>
        <v>0</v>
      </c>
      <c r="V103" s="86">
        <f t="shared" si="5"/>
        <v>0</v>
      </c>
    </row>
    <row r="104" spans="1:22" s="46" customFormat="1" ht="18" customHeight="1" x14ac:dyDescent="0.25">
      <c r="A104" s="743"/>
      <c r="B104" s="717"/>
      <c r="C104" s="728"/>
      <c r="D104" s="740"/>
      <c r="E104" s="734"/>
      <c r="F104" s="76"/>
      <c r="G104" s="737"/>
      <c r="H104" s="736" t="s">
        <v>591</v>
      </c>
      <c r="I104" s="71" t="s">
        <v>419</v>
      </c>
      <c r="J104" s="71">
        <v>63</v>
      </c>
      <c r="K104" s="270"/>
      <c r="L104" s="270"/>
      <c r="M104" s="271" t="s">
        <v>486</v>
      </c>
      <c r="N104" s="71">
        <v>46</v>
      </c>
      <c r="O104" s="71">
        <v>0</v>
      </c>
      <c r="P104" s="71" t="s">
        <v>413</v>
      </c>
      <c r="Q104" s="270"/>
      <c r="R104" s="71" t="s">
        <v>488</v>
      </c>
      <c r="S104" s="72">
        <f t="shared" si="8"/>
        <v>15</v>
      </c>
      <c r="T104" s="72">
        <f t="shared" si="6"/>
        <v>5</v>
      </c>
      <c r="U104" s="72">
        <f t="shared" si="7"/>
        <v>0</v>
      </c>
      <c r="V104" s="86">
        <f t="shared" si="5"/>
        <v>0</v>
      </c>
    </row>
    <row r="105" spans="1:22" s="46" customFormat="1" ht="18" customHeight="1" x14ac:dyDescent="0.25">
      <c r="A105" s="743"/>
      <c r="B105" s="717"/>
      <c r="C105" s="728"/>
      <c r="D105" s="740"/>
      <c r="E105" s="734"/>
      <c r="F105" s="76"/>
      <c r="G105" s="737"/>
      <c r="H105" s="737"/>
      <c r="I105" s="85" t="s">
        <v>412</v>
      </c>
      <c r="J105" s="85">
        <v>25</v>
      </c>
      <c r="K105" s="120"/>
      <c r="L105" s="120"/>
      <c r="M105" s="272" t="s">
        <v>486</v>
      </c>
      <c r="N105" s="85">
        <v>25</v>
      </c>
      <c r="O105" s="85">
        <v>0</v>
      </c>
      <c r="P105" s="85" t="s">
        <v>413</v>
      </c>
      <c r="Q105" s="120"/>
      <c r="R105" s="85" t="s">
        <v>488</v>
      </c>
      <c r="S105" s="72">
        <f t="shared" si="8"/>
        <v>8</v>
      </c>
      <c r="T105" s="72">
        <f t="shared" si="6"/>
        <v>3</v>
      </c>
      <c r="U105" s="72">
        <f t="shared" si="7"/>
        <v>0</v>
      </c>
      <c r="V105" s="86">
        <f t="shared" si="5"/>
        <v>0</v>
      </c>
    </row>
    <row r="106" spans="1:22" s="46" customFormat="1" ht="18" customHeight="1" x14ac:dyDescent="0.25">
      <c r="A106" s="743"/>
      <c r="B106" s="717"/>
      <c r="C106" s="728"/>
      <c r="D106" s="740"/>
      <c r="E106" s="734"/>
      <c r="F106" s="76"/>
      <c r="G106" s="737"/>
      <c r="H106" s="737"/>
      <c r="I106" s="79" t="s">
        <v>409</v>
      </c>
      <c r="J106" s="80">
        <v>100</v>
      </c>
      <c r="K106" s="81"/>
      <c r="L106" s="230"/>
      <c r="M106" s="83" t="s">
        <v>486</v>
      </c>
      <c r="N106" s="80">
        <v>42</v>
      </c>
      <c r="O106" s="79">
        <v>3</v>
      </c>
      <c r="P106" s="80" t="s">
        <v>413</v>
      </c>
      <c r="Q106" s="81"/>
      <c r="R106" s="85" t="s">
        <v>488</v>
      </c>
      <c r="S106" s="72">
        <f t="shared" si="8"/>
        <v>14</v>
      </c>
      <c r="T106" s="72">
        <f t="shared" si="6"/>
        <v>5</v>
      </c>
      <c r="U106" s="72">
        <f t="shared" si="7"/>
        <v>1</v>
      </c>
      <c r="V106" s="86">
        <f t="shared" si="5"/>
        <v>0</v>
      </c>
    </row>
    <row r="107" spans="1:22" s="46" customFormat="1" ht="18" customHeight="1" x14ac:dyDescent="0.25">
      <c r="A107" s="743"/>
      <c r="B107" s="717"/>
      <c r="C107" s="728"/>
      <c r="D107" s="740"/>
      <c r="E107" s="734"/>
      <c r="F107" s="76"/>
      <c r="G107" s="737"/>
      <c r="H107" s="737"/>
      <c r="I107" s="79" t="s">
        <v>411</v>
      </c>
      <c r="J107" s="80">
        <v>250</v>
      </c>
      <c r="K107" s="81"/>
      <c r="L107" s="230"/>
      <c r="M107" s="83" t="s">
        <v>486</v>
      </c>
      <c r="N107" s="80">
        <v>0</v>
      </c>
      <c r="O107" s="79">
        <v>1</v>
      </c>
      <c r="P107" s="80" t="s">
        <v>413</v>
      </c>
      <c r="Q107" s="81"/>
      <c r="R107" s="85" t="s">
        <v>488</v>
      </c>
      <c r="S107" s="72">
        <f t="shared" si="8"/>
        <v>0</v>
      </c>
      <c r="T107" s="72">
        <f t="shared" si="6"/>
        <v>0</v>
      </c>
      <c r="U107" s="73">
        <v>1</v>
      </c>
      <c r="V107" s="74">
        <v>1</v>
      </c>
    </row>
    <row r="108" spans="1:22" s="46" customFormat="1" ht="18" customHeight="1" x14ac:dyDescent="0.25">
      <c r="A108" s="743"/>
      <c r="B108" s="717"/>
      <c r="C108" s="728"/>
      <c r="D108" s="740"/>
      <c r="E108" s="734"/>
      <c r="F108" s="76"/>
      <c r="G108" s="737"/>
      <c r="H108" s="737"/>
      <c r="I108" s="88" t="s">
        <v>592</v>
      </c>
      <c r="J108" s="89">
        <v>160</v>
      </c>
      <c r="K108" s="88">
        <v>160</v>
      </c>
      <c r="L108" s="229"/>
      <c r="M108" s="92" t="s">
        <v>486</v>
      </c>
      <c r="N108" s="89">
        <v>127</v>
      </c>
      <c r="O108" s="88">
        <v>8</v>
      </c>
      <c r="P108" s="89" t="s">
        <v>413</v>
      </c>
      <c r="Q108" s="88" t="s">
        <v>530</v>
      </c>
      <c r="R108" s="95" t="s">
        <v>593</v>
      </c>
      <c r="S108" s="72">
        <f t="shared" si="8"/>
        <v>42</v>
      </c>
      <c r="T108" s="72">
        <f t="shared" si="6"/>
        <v>14</v>
      </c>
      <c r="U108" s="72">
        <f t="shared" si="7"/>
        <v>3</v>
      </c>
      <c r="V108" s="86">
        <f t="shared" si="5"/>
        <v>1</v>
      </c>
    </row>
    <row r="109" spans="1:22" s="46" customFormat="1" ht="18" customHeight="1" x14ac:dyDescent="0.25">
      <c r="A109" s="743"/>
      <c r="B109" s="717"/>
      <c r="C109" s="728"/>
      <c r="D109" s="740"/>
      <c r="E109" s="734"/>
      <c r="F109" s="76"/>
      <c r="G109" s="737"/>
      <c r="H109" s="737"/>
      <c r="I109" s="79" t="s">
        <v>408</v>
      </c>
      <c r="J109" s="80">
        <v>100</v>
      </c>
      <c r="K109" s="81"/>
      <c r="L109" s="230"/>
      <c r="M109" s="83" t="s">
        <v>486</v>
      </c>
      <c r="N109" s="80">
        <v>118</v>
      </c>
      <c r="O109" s="79">
        <v>6</v>
      </c>
      <c r="P109" s="80" t="s">
        <v>413</v>
      </c>
      <c r="Q109" s="81"/>
      <c r="R109" s="85" t="s">
        <v>488</v>
      </c>
      <c r="S109" s="72">
        <f t="shared" si="8"/>
        <v>39</v>
      </c>
      <c r="T109" s="72">
        <f t="shared" si="6"/>
        <v>13</v>
      </c>
      <c r="U109" s="72">
        <f t="shared" si="7"/>
        <v>2</v>
      </c>
      <c r="V109" s="86">
        <f t="shared" si="5"/>
        <v>1</v>
      </c>
    </row>
    <row r="110" spans="1:22" s="46" customFormat="1" ht="18" customHeight="1" thickBot="1" x14ac:dyDescent="0.3">
      <c r="A110" s="743"/>
      <c r="B110" s="717"/>
      <c r="C110" s="729"/>
      <c r="D110" s="741"/>
      <c r="E110" s="735"/>
      <c r="F110" s="190"/>
      <c r="G110" s="738"/>
      <c r="H110" s="738"/>
      <c r="I110" s="179" t="s">
        <v>454</v>
      </c>
      <c r="J110" s="180">
        <v>63</v>
      </c>
      <c r="K110" s="181"/>
      <c r="L110" s="238"/>
      <c r="M110" s="183" t="s">
        <v>486</v>
      </c>
      <c r="N110" s="180">
        <v>77</v>
      </c>
      <c r="O110" s="179">
        <v>1</v>
      </c>
      <c r="P110" s="180" t="s">
        <v>413</v>
      </c>
      <c r="Q110" s="273"/>
      <c r="R110" s="184" t="s">
        <v>488</v>
      </c>
      <c r="S110" s="72">
        <f t="shared" si="8"/>
        <v>26</v>
      </c>
      <c r="T110" s="72">
        <f t="shared" si="6"/>
        <v>9</v>
      </c>
      <c r="U110" s="72">
        <f t="shared" si="7"/>
        <v>0</v>
      </c>
      <c r="V110" s="86">
        <f t="shared" si="5"/>
        <v>0</v>
      </c>
    </row>
    <row r="111" spans="1:22" s="46" customFormat="1" ht="18" customHeight="1" x14ac:dyDescent="0.25">
      <c r="A111" s="743"/>
      <c r="B111" s="717"/>
      <c r="C111" s="748" t="s">
        <v>594</v>
      </c>
      <c r="D111" s="749"/>
      <c r="E111" s="64"/>
      <c r="F111" s="64"/>
      <c r="G111" s="185"/>
      <c r="H111" s="64" t="s">
        <v>490</v>
      </c>
      <c r="I111" s="274" t="s">
        <v>595</v>
      </c>
      <c r="J111" s="275">
        <v>160</v>
      </c>
      <c r="K111" s="276"/>
      <c r="L111" s="277"/>
      <c r="M111" s="278" t="s">
        <v>486</v>
      </c>
      <c r="N111" s="267"/>
      <c r="O111" s="268"/>
      <c r="P111" s="275" t="s">
        <v>487</v>
      </c>
      <c r="Q111" s="279" t="s">
        <v>596</v>
      </c>
      <c r="R111" s="280" t="s">
        <v>597</v>
      </c>
      <c r="S111" s="72">
        <f t="shared" si="8"/>
        <v>0</v>
      </c>
      <c r="T111" s="72">
        <f t="shared" si="6"/>
        <v>0</v>
      </c>
      <c r="U111" s="96">
        <v>0</v>
      </c>
      <c r="V111" s="97">
        <v>0</v>
      </c>
    </row>
    <row r="112" spans="1:22" s="46" customFormat="1" ht="18" customHeight="1" x14ac:dyDescent="0.25">
      <c r="A112" s="743"/>
      <c r="B112" s="717"/>
      <c r="C112" s="728"/>
      <c r="D112" s="750"/>
      <c r="E112" s="76"/>
      <c r="F112" s="76"/>
      <c r="G112" s="186"/>
      <c r="H112" s="76"/>
      <c r="I112" s="79" t="s">
        <v>320</v>
      </c>
      <c r="J112" s="80">
        <v>100</v>
      </c>
      <c r="K112" s="81"/>
      <c r="L112" s="230"/>
      <c r="M112" s="83" t="s">
        <v>486</v>
      </c>
      <c r="N112" s="80">
        <v>73</v>
      </c>
      <c r="O112" s="79">
        <v>4</v>
      </c>
      <c r="P112" s="80" t="s">
        <v>598</v>
      </c>
      <c r="Q112" s="81"/>
      <c r="R112" s="85" t="s">
        <v>488</v>
      </c>
      <c r="S112" s="72">
        <f t="shared" si="8"/>
        <v>24</v>
      </c>
      <c r="T112" s="72">
        <f t="shared" si="6"/>
        <v>8</v>
      </c>
      <c r="U112" s="72">
        <f t="shared" si="7"/>
        <v>1</v>
      </c>
      <c r="V112" s="86">
        <f t="shared" si="5"/>
        <v>0</v>
      </c>
    </row>
    <row r="113" spans="1:22" s="46" customFormat="1" ht="18" customHeight="1" x14ac:dyDescent="0.25">
      <c r="A113" s="743"/>
      <c r="B113" s="717"/>
      <c r="C113" s="728"/>
      <c r="D113" s="750"/>
      <c r="E113" s="76"/>
      <c r="F113" s="76"/>
      <c r="G113" s="186"/>
      <c r="H113" s="76"/>
      <c r="I113" s="79" t="s">
        <v>313</v>
      </c>
      <c r="J113" s="80">
        <v>160</v>
      </c>
      <c r="K113" s="81"/>
      <c r="L113" s="230"/>
      <c r="M113" s="83" t="s">
        <v>486</v>
      </c>
      <c r="N113" s="80">
        <v>201</v>
      </c>
      <c r="O113" s="79">
        <v>1</v>
      </c>
      <c r="P113" s="80" t="s">
        <v>598</v>
      </c>
      <c r="Q113" s="81"/>
      <c r="R113" s="85" t="s">
        <v>488</v>
      </c>
      <c r="S113" s="72">
        <f t="shared" si="8"/>
        <v>67</v>
      </c>
      <c r="T113" s="72">
        <f t="shared" si="6"/>
        <v>22</v>
      </c>
      <c r="U113" s="72">
        <f t="shared" si="7"/>
        <v>0</v>
      </c>
      <c r="V113" s="86">
        <f t="shared" si="5"/>
        <v>0</v>
      </c>
    </row>
    <row r="114" spans="1:22" s="46" customFormat="1" ht="18" customHeight="1" x14ac:dyDescent="0.25">
      <c r="A114" s="743"/>
      <c r="B114" s="717"/>
      <c r="C114" s="728"/>
      <c r="D114" s="750"/>
      <c r="E114" s="228"/>
      <c r="F114" s="76"/>
      <c r="G114" s="186"/>
      <c r="H114" s="76"/>
      <c r="I114" s="79" t="s">
        <v>287</v>
      </c>
      <c r="J114" s="80">
        <v>250</v>
      </c>
      <c r="K114" s="81"/>
      <c r="L114" s="230"/>
      <c r="M114" s="83" t="s">
        <v>486</v>
      </c>
      <c r="N114" s="80">
        <v>180</v>
      </c>
      <c r="O114" s="79">
        <v>9</v>
      </c>
      <c r="P114" s="80" t="s">
        <v>598</v>
      </c>
      <c r="Q114" s="81"/>
      <c r="R114" s="85" t="s">
        <v>488</v>
      </c>
      <c r="S114" s="72">
        <f t="shared" si="8"/>
        <v>60</v>
      </c>
      <c r="T114" s="72">
        <f t="shared" si="6"/>
        <v>20</v>
      </c>
      <c r="U114" s="72">
        <f t="shared" si="7"/>
        <v>3</v>
      </c>
      <c r="V114" s="86">
        <f t="shared" si="5"/>
        <v>1</v>
      </c>
    </row>
    <row r="115" spans="1:22" s="46" customFormat="1" ht="18" customHeight="1" x14ac:dyDescent="0.25">
      <c r="A115" s="743"/>
      <c r="B115" s="717"/>
      <c r="C115" s="728"/>
      <c r="D115" s="750"/>
      <c r="E115" s="228"/>
      <c r="F115" s="76"/>
      <c r="G115" s="186"/>
      <c r="H115" s="228"/>
      <c r="I115" s="79" t="s">
        <v>369</v>
      </c>
      <c r="J115" s="80">
        <v>250</v>
      </c>
      <c r="K115" s="81"/>
      <c r="L115" s="230"/>
      <c r="M115" s="83" t="s">
        <v>486</v>
      </c>
      <c r="N115" s="80">
        <v>154</v>
      </c>
      <c r="O115" s="79">
        <v>6</v>
      </c>
      <c r="P115" s="80" t="s">
        <v>598</v>
      </c>
      <c r="Q115" s="81"/>
      <c r="R115" s="85" t="s">
        <v>488</v>
      </c>
      <c r="S115" s="72">
        <f t="shared" si="8"/>
        <v>51</v>
      </c>
      <c r="T115" s="72">
        <f t="shared" si="6"/>
        <v>17</v>
      </c>
      <c r="U115" s="72">
        <f t="shared" si="7"/>
        <v>2</v>
      </c>
      <c r="V115" s="86">
        <f t="shared" si="5"/>
        <v>1</v>
      </c>
    </row>
    <row r="116" spans="1:22" s="46" customFormat="1" ht="18" customHeight="1" x14ac:dyDescent="0.25">
      <c r="A116" s="743"/>
      <c r="B116" s="717"/>
      <c r="C116" s="728"/>
      <c r="D116" s="750"/>
      <c r="E116" s="228"/>
      <c r="F116" s="76"/>
      <c r="G116" s="186"/>
      <c r="H116" s="76"/>
      <c r="I116" s="79" t="s">
        <v>370</v>
      </c>
      <c r="J116" s="80">
        <v>100</v>
      </c>
      <c r="K116" s="81"/>
      <c r="L116" s="230"/>
      <c r="M116" s="83" t="s">
        <v>486</v>
      </c>
      <c r="N116" s="80">
        <v>154</v>
      </c>
      <c r="O116" s="79">
        <v>0</v>
      </c>
      <c r="P116" s="80" t="s">
        <v>598</v>
      </c>
      <c r="Q116" s="81"/>
      <c r="R116" s="85" t="s">
        <v>488</v>
      </c>
      <c r="S116" s="72">
        <f t="shared" si="8"/>
        <v>51</v>
      </c>
      <c r="T116" s="72">
        <f t="shared" si="6"/>
        <v>17</v>
      </c>
      <c r="U116" s="72">
        <f t="shared" si="7"/>
        <v>0</v>
      </c>
      <c r="V116" s="86">
        <f t="shared" si="5"/>
        <v>0</v>
      </c>
    </row>
    <row r="117" spans="1:22" s="46" customFormat="1" ht="18" customHeight="1" thickBot="1" x14ac:dyDescent="0.3">
      <c r="A117" s="743"/>
      <c r="B117" s="717"/>
      <c r="C117" s="728"/>
      <c r="D117" s="750"/>
      <c r="E117" s="76"/>
      <c r="F117" s="76"/>
      <c r="G117" s="250"/>
      <c r="H117" s="233"/>
      <c r="I117" s="101" t="s">
        <v>599</v>
      </c>
      <c r="J117" s="102">
        <v>25</v>
      </c>
      <c r="K117" s="103"/>
      <c r="L117" s="281"/>
      <c r="M117" s="105" t="s">
        <v>486</v>
      </c>
      <c r="N117" s="102">
        <v>0</v>
      </c>
      <c r="O117" s="101">
        <v>1</v>
      </c>
      <c r="P117" s="102" t="s">
        <v>598</v>
      </c>
      <c r="Q117" s="101" t="s">
        <v>600</v>
      </c>
      <c r="R117" s="282" t="s">
        <v>565</v>
      </c>
      <c r="S117" s="72">
        <f t="shared" si="8"/>
        <v>0</v>
      </c>
      <c r="T117" s="72">
        <f t="shared" si="6"/>
        <v>0</v>
      </c>
      <c r="U117" s="95">
        <v>1</v>
      </c>
      <c r="V117" s="89">
        <v>1</v>
      </c>
    </row>
    <row r="118" spans="1:22" s="46" customFormat="1" ht="18" customHeight="1" x14ac:dyDescent="0.25">
      <c r="A118" s="743"/>
      <c r="B118" s="717"/>
      <c r="C118" s="728"/>
      <c r="D118" s="750"/>
      <c r="E118" s="76"/>
      <c r="F118" s="283"/>
      <c r="G118" s="284"/>
      <c r="H118" s="733" t="s">
        <v>601</v>
      </c>
      <c r="I118" s="262" t="s">
        <v>431</v>
      </c>
      <c r="J118" s="263">
        <v>10</v>
      </c>
      <c r="K118" s="264"/>
      <c r="L118" s="265"/>
      <c r="M118" s="266" t="s">
        <v>486</v>
      </c>
      <c r="N118" s="263">
        <v>0</v>
      </c>
      <c r="O118" s="262">
        <v>1</v>
      </c>
      <c r="P118" s="263" t="s">
        <v>602</v>
      </c>
      <c r="Q118" s="262" t="s">
        <v>388</v>
      </c>
      <c r="R118" s="269" t="s">
        <v>603</v>
      </c>
      <c r="S118" s="72">
        <f t="shared" si="8"/>
        <v>0</v>
      </c>
      <c r="T118" s="72">
        <f t="shared" si="6"/>
        <v>0</v>
      </c>
      <c r="U118" s="95">
        <v>1</v>
      </c>
      <c r="V118" s="89">
        <v>1</v>
      </c>
    </row>
    <row r="119" spans="1:22" s="46" customFormat="1" ht="18" customHeight="1" x14ac:dyDescent="0.25">
      <c r="A119" s="743"/>
      <c r="B119" s="717"/>
      <c r="C119" s="728"/>
      <c r="D119" s="750"/>
      <c r="E119" s="283"/>
      <c r="F119" s="283"/>
      <c r="G119" s="284"/>
      <c r="H119" s="734"/>
      <c r="I119" s="88" t="s">
        <v>447</v>
      </c>
      <c r="J119" s="89">
        <v>63</v>
      </c>
      <c r="K119" s="90"/>
      <c r="L119" s="229"/>
      <c r="M119" s="92" t="s">
        <v>486</v>
      </c>
      <c r="N119" s="89">
        <v>0</v>
      </c>
      <c r="O119" s="88">
        <v>1</v>
      </c>
      <c r="P119" s="89" t="s">
        <v>602</v>
      </c>
      <c r="Q119" s="88" t="s">
        <v>604</v>
      </c>
      <c r="R119" s="95" t="s">
        <v>605</v>
      </c>
      <c r="S119" s="72">
        <f t="shared" si="8"/>
        <v>0</v>
      </c>
      <c r="T119" s="72">
        <f t="shared" si="6"/>
        <v>0</v>
      </c>
      <c r="U119" s="95">
        <v>1</v>
      </c>
      <c r="V119" s="89">
        <v>1</v>
      </c>
    </row>
    <row r="120" spans="1:22" s="46" customFormat="1" ht="18" customHeight="1" x14ac:dyDescent="0.25">
      <c r="A120" s="743"/>
      <c r="B120" s="717"/>
      <c r="C120" s="728"/>
      <c r="D120" s="750"/>
      <c r="E120" s="283"/>
      <c r="F120" s="283"/>
      <c r="G120" s="284"/>
      <c r="H120" s="734"/>
      <c r="I120" s="88" t="s">
        <v>606</v>
      </c>
      <c r="J120" s="89">
        <v>25</v>
      </c>
      <c r="K120" s="90"/>
      <c r="L120" s="229"/>
      <c r="M120" s="92" t="s">
        <v>486</v>
      </c>
      <c r="N120" s="89">
        <v>0</v>
      </c>
      <c r="O120" s="88">
        <v>1</v>
      </c>
      <c r="P120" s="89" t="s">
        <v>602</v>
      </c>
      <c r="Q120" s="88" t="s">
        <v>553</v>
      </c>
      <c r="R120" s="95" t="s">
        <v>607</v>
      </c>
      <c r="S120" s="72">
        <f t="shared" si="8"/>
        <v>0</v>
      </c>
      <c r="T120" s="72">
        <f t="shared" si="6"/>
        <v>0</v>
      </c>
      <c r="U120" s="95">
        <v>1</v>
      </c>
      <c r="V120" s="89">
        <v>1</v>
      </c>
    </row>
    <row r="121" spans="1:22" s="46" customFormat="1" ht="18" customHeight="1" x14ac:dyDescent="0.25">
      <c r="A121" s="743"/>
      <c r="B121" s="717"/>
      <c r="C121" s="728"/>
      <c r="D121" s="750"/>
      <c r="E121" s="283"/>
      <c r="F121" s="283"/>
      <c r="G121" s="284"/>
      <c r="H121" s="734"/>
      <c r="I121" s="88" t="s">
        <v>608</v>
      </c>
      <c r="J121" s="89">
        <v>40</v>
      </c>
      <c r="K121" s="90"/>
      <c r="L121" s="229"/>
      <c r="M121" s="92" t="s">
        <v>486</v>
      </c>
      <c r="N121" s="93"/>
      <c r="O121" s="94"/>
      <c r="P121" s="89" t="s">
        <v>602</v>
      </c>
      <c r="Q121" s="90"/>
      <c r="R121" s="95" t="s">
        <v>609</v>
      </c>
      <c r="S121" s="72">
        <f t="shared" si="8"/>
        <v>0</v>
      </c>
      <c r="T121" s="72">
        <f t="shared" si="6"/>
        <v>0</v>
      </c>
      <c r="U121" s="96">
        <v>0</v>
      </c>
      <c r="V121" s="97">
        <v>0</v>
      </c>
    </row>
    <row r="122" spans="1:22" s="46" customFormat="1" ht="18" customHeight="1" thickBot="1" x14ac:dyDescent="0.3">
      <c r="A122" s="744"/>
      <c r="B122" s="718"/>
      <c r="C122" s="729"/>
      <c r="D122" s="754"/>
      <c r="E122" s="190"/>
      <c r="F122" s="190"/>
      <c r="G122" s="285"/>
      <c r="H122" s="735"/>
      <c r="I122" s="179" t="s">
        <v>376</v>
      </c>
      <c r="J122" s="180">
        <v>100</v>
      </c>
      <c r="K122" s="181"/>
      <c r="L122" s="238"/>
      <c r="M122" s="183" t="s">
        <v>486</v>
      </c>
      <c r="N122" s="180">
        <v>67</v>
      </c>
      <c r="O122" s="179">
        <v>3</v>
      </c>
      <c r="P122" s="180" t="s">
        <v>610</v>
      </c>
      <c r="Q122" s="273"/>
      <c r="R122" s="184" t="s">
        <v>488</v>
      </c>
      <c r="S122" s="72">
        <f t="shared" si="8"/>
        <v>22</v>
      </c>
      <c r="T122" s="72">
        <f t="shared" si="6"/>
        <v>7</v>
      </c>
      <c r="U122" s="72">
        <f t="shared" si="7"/>
        <v>1</v>
      </c>
      <c r="V122" s="86">
        <f t="shared" si="5"/>
        <v>0</v>
      </c>
    </row>
    <row r="123" spans="1:22" s="46" customFormat="1" ht="18" customHeight="1" thickBot="1" x14ac:dyDescent="0.3">
      <c r="A123" s="742" t="s">
        <v>611</v>
      </c>
      <c r="B123" s="755" t="s">
        <v>484</v>
      </c>
      <c r="C123" s="748" t="s">
        <v>612</v>
      </c>
      <c r="D123" s="749"/>
      <c r="E123" s="64"/>
      <c r="F123" s="64"/>
      <c r="G123" s="286"/>
      <c r="H123" s="242"/>
      <c r="I123" s="287" t="s">
        <v>322</v>
      </c>
      <c r="J123" s="288">
        <v>250</v>
      </c>
      <c r="K123" s="178"/>
      <c r="L123" s="243"/>
      <c r="M123" s="70" t="s">
        <v>486</v>
      </c>
      <c r="N123" s="68">
        <v>0</v>
      </c>
      <c r="O123" s="67">
        <v>1</v>
      </c>
      <c r="P123" s="288" t="s">
        <v>613</v>
      </c>
      <c r="Q123" s="199"/>
      <c r="R123" s="289" t="s">
        <v>488</v>
      </c>
      <c r="S123" s="72">
        <f t="shared" si="8"/>
        <v>0</v>
      </c>
      <c r="T123" s="72">
        <f t="shared" si="6"/>
        <v>0</v>
      </c>
      <c r="U123" s="73">
        <v>1</v>
      </c>
      <c r="V123" s="74">
        <v>1</v>
      </c>
    </row>
    <row r="124" spans="1:22" s="46" customFormat="1" ht="18" customHeight="1" x14ac:dyDescent="0.25">
      <c r="A124" s="743"/>
      <c r="B124" s="756"/>
      <c r="C124" s="758"/>
      <c r="D124" s="750"/>
      <c r="E124" s="146"/>
      <c r="F124" s="146"/>
      <c r="G124" s="290"/>
      <c r="H124" s="218"/>
      <c r="I124" s="291" t="s">
        <v>614</v>
      </c>
      <c r="J124" s="223"/>
      <c r="K124" s="151"/>
      <c r="L124" s="292"/>
      <c r="M124" s="83"/>
      <c r="N124" s="223"/>
      <c r="O124" s="224"/>
      <c r="P124" s="293"/>
      <c r="Q124" s="241"/>
      <c r="R124" s="294"/>
      <c r="S124" s="72">
        <f t="shared" si="8"/>
        <v>0</v>
      </c>
      <c r="T124" s="72">
        <f t="shared" si="6"/>
        <v>0</v>
      </c>
      <c r="U124" s="96">
        <v>0</v>
      </c>
      <c r="V124" s="97">
        <v>0</v>
      </c>
    </row>
    <row r="125" spans="1:22" s="46" customFormat="1" ht="18" customHeight="1" x14ac:dyDescent="0.25">
      <c r="A125" s="743"/>
      <c r="B125" s="756"/>
      <c r="C125" s="728"/>
      <c r="D125" s="750"/>
      <c r="E125" s="76"/>
      <c r="F125" s="76"/>
      <c r="G125" s="284"/>
      <c r="H125" s="228"/>
      <c r="I125" s="79" t="s">
        <v>378</v>
      </c>
      <c r="J125" s="295">
        <v>400</v>
      </c>
      <c r="K125" s="296">
        <v>400</v>
      </c>
      <c r="L125" s="230"/>
      <c r="M125" s="83" t="s">
        <v>486</v>
      </c>
      <c r="N125" s="80">
        <v>0</v>
      </c>
      <c r="O125" s="79">
        <v>2</v>
      </c>
      <c r="P125" s="295" t="s">
        <v>615</v>
      </c>
      <c r="Q125" s="79" t="s">
        <v>616</v>
      </c>
      <c r="R125" s="85" t="s">
        <v>617</v>
      </c>
      <c r="S125" s="72">
        <f t="shared" si="8"/>
        <v>0</v>
      </c>
      <c r="T125" s="72">
        <f t="shared" si="6"/>
        <v>0</v>
      </c>
      <c r="U125" s="73">
        <v>2</v>
      </c>
      <c r="V125" s="74">
        <v>2</v>
      </c>
    </row>
    <row r="126" spans="1:22" s="46" customFormat="1" ht="18" customHeight="1" x14ac:dyDescent="0.25">
      <c r="A126" s="743"/>
      <c r="B126" s="756"/>
      <c r="C126" s="728"/>
      <c r="D126" s="750"/>
      <c r="E126" s="76"/>
      <c r="F126" s="76"/>
      <c r="G126" s="284"/>
      <c r="H126" s="228"/>
      <c r="I126" s="79" t="s">
        <v>299</v>
      </c>
      <c r="J126" s="80">
        <v>50</v>
      </c>
      <c r="K126" s="81"/>
      <c r="L126" s="230"/>
      <c r="M126" s="83" t="s">
        <v>486</v>
      </c>
      <c r="N126" s="80">
        <v>37</v>
      </c>
      <c r="O126" s="79">
        <v>0</v>
      </c>
      <c r="P126" s="80" t="s">
        <v>615</v>
      </c>
      <c r="Q126" s="81"/>
      <c r="R126" s="85" t="s">
        <v>488</v>
      </c>
      <c r="S126" s="72">
        <f t="shared" si="8"/>
        <v>12</v>
      </c>
      <c r="T126" s="72">
        <f t="shared" si="6"/>
        <v>4</v>
      </c>
      <c r="U126" s="72">
        <f t="shared" si="7"/>
        <v>0</v>
      </c>
      <c r="V126" s="86">
        <f t="shared" si="5"/>
        <v>0</v>
      </c>
    </row>
    <row r="127" spans="1:22" s="46" customFormat="1" ht="18" customHeight="1" x14ac:dyDescent="0.25">
      <c r="A127" s="743"/>
      <c r="B127" s="756"/>
      <c r="C127" s="728"/>
      <c r="D127" s="750"/>
      <c r="E127" s="76"/>
      <c r="F127" s="76"/>
      <c r="G127" s="250"/>
      <c r="H127" s="228"/>
      <c r="I127" s="79" t="s">
        <v>347</v>
      </c>
      <c r="J127" s="80">
        <v>25</v>
      </c>
      <c r="K127" s="81"/>
      <c r="L127" s="230"/>
      <c r="M127" s="83" t="s">
        <v>486</v>
      </c>
      <c r="N127" s="80">
        <v>21</v>
      </c>
      <c r="O127" s="79">
        <v>2</v>
      </c>
      <c r="P127" s="80" t="s">
        <v>618</v>
      </c>
      <c r="Q127" s="81"/>
      <c r="R127" s="85" t="s">
        <v>488</v>
      </c>
      <c r="S127" s="72">
        <f t="shared" si="8"/>
        <v>7</v>
      </c>
      <c r="T127" s="72">
        <f t="shared" si="6"/>
        <v>2</v>
      </c>
      <c r="U127" s="72">
        <f t="shared" si="7"/>
        <v>1</v>
      </c>
      <c r="V127" s="86">
        <f t="shared" si="5"/>
        <v>0</v>
      </c>
    </row>
    <row r="128" spans="1:22" s="46" customFormat="1" ht="18" customHeight="1" x14ac:dyDescent="0.25">
      <c r="A128" s="743"/>
      <c r="B128" s="756"/>
      <c r="C128" s="728"/>
      <c r="D128" s="750"/>
      <c r="E128" s="76"/>
      <c r="F128" s="76"/>
      <c r="G128" s="250"/>
      <c r="H128" s="228"/>
      <c r="I128" s="88" t="s">
        <v>269</v>
      </c>
      <c r="J128" s="89">
        <v>4</v>
      </c>
      <c r="K128" s="90"/>
      <c r="L128" s="229"/>
      <c r="M128" s="92" t="s">
        <v>486</v>
      </c>
      <c r="N128" s="89">
        <v>0</v>
      </c>
      <c r="O128" s="88">
        <v>1</v>
      </c>
      <c r="P128" s="89" t="s">
        <v>619</v>
      </c>
      <c r="Q128" s="88" t="s">
        <v>620</v>
      </c>
      <c r="R128" s="95" t="s">
        <v>621</v>
      </c>
      <c r="S128" s="72">
        <f t="shared" si="8"/>
        <v>0</v>
      </c>
      <c r="T128" s="72">
        <f t="shared" si="6"/>
        <v>0</v>
      </c>
      <c r="U128" s="95">
        <v>1</v>
      </c>
      <c r="V128" s="89">
        <v>1</v>
      </c>
    </row>
    <row r="129" spans="1:22" s="46" customFormat="1" ht="18" customHeight="1" x14ac:dyDescent="0.25">
      <c r="A129" s="743"/>
      <c r="B129" s="756"/>
      <c r="C129" s="728"/>
      <c r="D129" s="750"/>
      <c r="E129" s="76"/>
      <c r="F129" s="76"/>
      <c r="G129" s="250"/>
      <c r="H129" s="228"/>
      <c r="I129" s="79" t="s">
        <v>622</v>
      </c>
      <c r="J129" s="80">
        <v>100</v>
      </c>
      <c r="K129" s="81"/>
      <c r="L129" s="230"/>
      <c r="M129" s="83" t="s">
        <v>486</v>
      </c>
      <c r="N129" s="80">
        <v>0</v>
      </c>
      <c r="O129" s="79">
        <v>0</v>
      </c>
      <c r="P129" s="80" t="s">
        <v>618</v>
      </c>
      <c r="Q129" s="81"/>
      <c r="R129" s="85" t="s">
        <v>488</v>
      </c>
      <c r="S129" s="72">
        <f t="shared" si="8"/>
        <v>0</v>
      </c>
      <c r="T129" s="72">
        <f t="shared" si="6"/>
        <v>0</v>
      </c>
      <c r="U129" s="189">
        <v>0</v>
      </c>
      <c r="V129" s="297">
        <v>0</v>
      </c>
    </row>
    <row r="130" spans="1:22" s="46" customFormat="1" ht="18" customHeight="1" x14ac:dyDescent="0.25">
      <c r="A130" s="743"/>
      <c r="B130" s="756"/>
      <c r="C130" s="728"/>
      <c r="D130" s="750"/>
      <c r="E130" s="76"/>
      <c r="F130" s="76"/>
      <c r="G130" s="250"/>
      <c r="H130" s="228"/>
      <c r="I130" s="79" t="s">
        <v>304</v>
      </c>
      <c r="J130" s="80">
        <v>160</v>
      </c>
      <c r="K130" s="81"/>
      <c r="L130" s="230"/>
      <c r="M130" s="83" t="s">
        <v>486</v>
      </c>
      <c r="N130" s="80">
        <v>83</v>
      </c>
      <c r="O130" s="79">
        <v>5</v>
      </c>
      <c r="P130" s="80" t="s">
        <v>618</v>
      </c>
      <c r="Q130" s="81"/>
      <c r="R130" s="85" t="s">
        <v>488</v>
      </c>
      <c r="S130" s="72">
        <f t="shared" si="8"/>
        <v>28</v>
      </c>
      <c r="T130" s="72">
        <f t="shared" si="6"/>
        <v>9</v>
      </c>
      <c r="U130" s="72">
        <f t="shared" si="7"/>
        <v>2</v>
      </c>
      <c r="V130" s="86">
        <f t="shared" si="5"/>
        <v>1</v>
      </c>
    </row>
    <row r="131" spans="1:22" s="46" customFormat="1" ht="18" customHeight="1" x14ac:dyDescent="0.25">
      <c r="A131" s="743"/>
      <c r="B131" s="756"/>
      <c r="C131" s="728"/>
      <c r="D131" s="750"/>
      <c r="E131" s="76"/>
      <c r="F131" s="76"/>
      <c r="G131" s="250"/>
      <c r="H131" s="228"/>
      <c r="I131" s="88" t="s">
        <v>352</v>
      </c>
      <c r="J131" s="89">
        <v>25</v>
      </c>
      <c r="K131" s="90"/>
      <c r="L131" s="229"/>
      <c r="M131" s="92" t="s">
        <v>486</v>
      </c>
      <c r="N131" s="89">
        <v>0</v>
      </c>
      <c r="O131" s="88">
        <v>1</v>
      </c>
      <c r="P131" s="89" t="s">
        <v>618</v>
      </c>
      <c r="Q131" s="88" t="s">
        <v>623</v>
      </c>
      <c r="R131" s="95" t="s">
        <v>624</v>
      </c>
      <c r="S131" s="72">
        <f t="shared" si="8"/>
        <v>0</v>
      </c>
      <c r="T131" s="72">
        <f t="shared" si="6"/>
        <v>0</v>
      </c>
      <c r="U131" s="95">
        <v>1</v>
      </c>
      <c r="V131" s="89">
        <v>1</v>
      </c>
    </row>
    <row r="132" spans="1:22" s="46" customFormat="1" ht="18" customHeight="1" x14ac:dyDescent="0.25">
      <c r="A132" s="743"/>
      <c r="B132" s="756"/>
      <c r="C132" s="728"/>
      <c r="D132" s="750"/>
      <c r="E132" s="76"/>
      <c r="F132" s="76"/>
      <c r="G132" s="250"/>
      <c r="H132" s="228"/>
      <c r="I132" s="79" t="s">
        <v>309</v>
      </c>
      <c r="J132" s="80">
        <v>100</v>
      </c>
      <c r="K132" s="81"/>
      <c r="L132" s="230"/>
      <c r="M132" s="83" t="s">
        <v>486</v>
      </c>
      <c r="N132" s="80">
        <v>72</v>
      </c>
      <c r="O132" s="79">
        <v>6</v>
      </c>
      <c r="P132" s="80" t="s">
        <v>625</v>
      </c>
      <c r="Q132" s="81"/>
      <c r="R132" s="85" t="s">
        <v>488</v>
      </c>
      <c r="S132" s="72">
        <f t="shared" si="8"/>
        <v>24</v>
      </c>
      <c r="T132" s="72">
        <f t="shared" si="6"/>
        <v>8</v>
      </c>
      <c r="U132" s="72">
        <f t="shared" si="7"/>
        <v>2</v>
      </c>
      <c r="V132" s="86">
        <f t="shared" si="5"/>
        <v>1</v>
      </c>
    </row>
    <row r="133" spans="1:22" s="46" customFormat="1" ht="18" customHeight="1" x14ac:dyDescent="0.25">
      <c r="A133" s="743"/>
      <c r="B133" s="756"/>
      <c r="C133" s="728"/>
      <c r="D133" s="750"/>
      <c r="E133" s="76"/>
      <c r="F133" s="76"/>
      <c r="G133" s="250"/>
      <c r="H133" s="228"/>
      <c r="I133" s="79" t="s">
        <v>360</v>
      </c>
      <c r="J133" s="80">
        <v>60</v>
      </c>
      <c r="K133" s="81"/>
      <c r="L133" s="230"/>
      <c r="M133" s="83" t="s">
        <v>486</v>
      </c>
      <c r="N133" s="80">
        <v>58</v>
      </c>
      <c r="O133" s="79">
        <v>0</v>
      </c>
      <c r="P133" s="80" t="s">
        <v>625</v>
      </c>
      <c r="Q133" s="81"/>
      <c r="R133" s="85" t="s">
        <v>488</v>
      </c>
      <c r="S133" s="72">
        <f t="shared" si="8"/>
        <v>19</v>
      </c>
      <c r="T133" s="72">
        <f t="shared" si="6"/>
        <v>6</v>
      </c>
      <c r="U133" s="72">
        <f t="shared" si="7"/>
        <v>0</v>
      </c>
      <c r="V133" s="86">
        <f t="shared" si="5"/>
        <v>0</v>
      </c>
    </row>
    <row r="134" spans="1:22" s="46" customFormat="1" ht="18" customHeight="1" x14ac:dyDescent="0.25">
      <c r="A134" s="743"/>
      <c r="B134" s="756"/>
      <c r="C134" s="728"/>
      <c r="D134" s="750"/>
      <c r="E134" s="76"/>
      <c r="F134" s="76"/>
      <c r="G134" s="250"/>
      <c r="H134" s="228"/>
      <c r="I134" s="79" t="s">
        <v>310</v>
      </c>
      <c r="J134" s="80">
        <v>30</v>
      </c>
      <c r="K134" s="81"/>
      <c r="L134" s="230"/>
      <c r="M134" s="83" t="s">
        <v>486</v>
      </c>
      <c r="N134" s="80">
        <v>0</v>
      </c>
      <c r="O134" s="79">
        <v>1</v>
      </c>
      <c r="P134" s="80" t="s">
        <v>625</v>
      </c>
      <c r="Q134" s="81"/>
      <c r="R134" s="85" t="s">
        <v>488</v>
      </c>
      <c r="S134" s="72">
        <f t="shared" si="8"/>
        <v>0</v>
      </c>
      <c r="T134" s="72">
        <f t="shared" si="6"/>
        <v>0</v>
      </c>
      <c r="U134" s="73">
        <v>1</v>
      </c>
      <c r="V134" s="74">
        <v>1</v>
      </c>
    </row>
    <row r="135" spans="1:22" s="46" customFormat="1" ht="18" customHeight="1" x14ac:dyDescent="0.25">
      <c r="A135" s="743"/>
      <c r="B135" s="756"/>
      <c r="C135" s="728"/>
      <c r="D135" s="750"/>
      <c r="E135" s="76"/>
      <c r="F135" s="76"/>
      <c r="G135" s="250"/>
      <c r="H135" s="228"/>
      <c r="I135" s="79" t="s">
        <v>305</v>
      </c>
      <c r="J135" s="80">
        <v>100</v>
      </c>
      <c r="K135" s="81"/>
      <c r="L135" s="230"/>
      <c r="M135" s="83" t="s">
        <v>486</v>
      </c>
      <c r="N135" s="80">
        <v>29</v>
      </c>
      <c r="O135" s="79">
        <v>1</v>
      </c>
      <c r="P135" s="80" t="s">
        <v>626</v>
      </c>
      <c r="Q135" s="81"/>
      <c r="R135" s="85" t="s">
        <v>488</v>
      </c>
      <c r="S135" s="72">
        <f t="shared" si="8"/>
        <v>10</v>
      </c>
      <c r="T135" s="72">
        <f t="shared" si="6"/>
        <v>3</v>
      </c>
      <c r="U135" s="72">
        <f t="shared" si="7"/>
        <v>0</v>
      </c>
      <c r="V135" s="86">
        <f t="shared" si="5"/>
        <v>0</v>
      </c>
    </row>
    <row r="136" spans="1:22" s="46" customFormat="1" ht="18" customHeight="1" x14ac:dyDescent="0.25">
      <c r="A136" s="743"/>
      <c r="B136" s="756"/>
      <c r="C136" s="728"/>
      <c r="D136" s="750"/>
      <c r="E136" s="76"/>
      <c r="F136" s="76"/>
      <c r="G136" s="250"/>
      <c r="H136" s="228"/>
      <c r="I136" s="79" t="s">
        <v>306</v>
      </c>
      <c r="J136" s="80">
        <v>60</v>
      </c>
      <c r="K136" s="81"/>
      <c r="L136" s="230"/>
      <c r="M136" s="83" t="s">
        <v>486</v>
      </c>
      <c r="N136" s="80">
        <v>0</v>
      </c>
      <c r="O136" s="79">
        <v>2</v>
      </c>
      <c r="P136" s="80" t="s">
        <v>626</v>
      </c>
      <c r="Q136" s="81"/>
      <c r="R136" s="85" t="s">
        <v>488</v>
      </c>
      <c r="S136" s="72">
        <f t="shared" si="8"/>
        <v>0</v>
      </c>
      <c r="T136" s="72">
        <f t="shared" si="6"/>
        <v>0</v>
      </c>
      <c r="U136" s="73">
        <v>2</v>
      </c>
      <c r="V136" s="74">
        <v>2</v>
      </c>
    </row>
    <row r="137" spans="1:22" s="46" customFormat="1" ht="18" customHeight="1" thickBot="1" x14ac:dyDescent="0.3">
      <c r="A137" s="743"/>
      <c r="B137" s="756"/>
      <c r="C137" s="728"/>
      <c r="D137" s="750"/>
      <c r="E137" s="76"/>
      <c r="F137" s="76"/>
      <c r="G137" s="250"/>
      <c r="H137" s="228"/>
      <c r="I137" s="79" t="s">
        <v>380</v>
      </c>
      <c r="J137" s="80">
        <v>250</v>
      </c>
      <c r="K137" s="81"/>
      <c r="L137" s="230"/>
      <c r="M137" s="83" t="s">
        <v>486</v>
      </c>
      <c r="N137" s="80">
        <v>76</v>
      </c>
      <c r="O137" s="79">
        <v>4</v>
      </c>
      <c r="P137" s="80" t="s">
        <v>625</v>
      </c>
      <c r="Q137" s="81"/>
      <c r="R137" s="85" t="s">
        <v>488</v>
      </c>
      <c r="S137" s="72">
        <f t="shared" si="8"/>
        <v>25</v>
      </c>
      <c r="T137" s="72">
        <f t="shared" si="6"/>
        <v>8</v>
      </c>
      <c r="U137" s="72">
        <f t="shared" si="7"/>
        <v>1</v>
      </c>
      <c r="V137" s="86">
        <f t="shared" ref="V137:V200" si="9">ROUND(U137/3,0)</f>
        <v>0</v>
      </c>
    </row>
    <row r="138" spans="1:22" s="46" customFormat="1" ht="18" customHeight="1" x14ac:dyDescent="0.25">
      <c r="A138" s="743"/>
      <c r="B138" s="756"/>
      <c r="C138" s="748" t="s">
        <v>627</v>
      </c>
      <c r="D138" s="749"/>
      <c r="E138" s="64"/>
      <c r="F138" s="64"/>
      <c r="G138" s="298"/>
      <c r="H138" s="299" t="s">
        <v>628</v>
      </c>
      <c r="I138" s="300" t="s">
        <v>629</v>
      </c>
      <c r="J138" s="263">
        <v>10</v>
      </c>
      <c r="K138" s="264"/>
      <c r="L138" s="265"/>
      <c r="M138" s="266" t="s">
        <v>486</v>
      </c>
      <c r="N138" s="267"/>
      <c r="O138" s="268"/>
      <c r="P138" s="263" t="s">
        <v>433</v>
      </c>
      <c r="Q138" s="301" t="s">
        <v>630</v>
      </c>
      <c r="R138" s="269" t="s">
        <v>631</v>
      </c>
      <c r="S138" s="72">
        <f t="shared" si="8"/>
        <v>0</v>
      </c>
      <c r="T138" s="72">
        <f t="shared" ref="T138:T201" si="10">ROUND(S138/3,0)</f>
        <v>0</v>
      </c>
      <c r="U138" s="96">
        <v>0</v>
      </c>
      <c r="V138" s="97">
        <v>0</v>
      </c>
    </row>
    <row r="139" spans="1:22" s="46" customFormat="1" ht="18" customHeight="1" x14ac:dyDescent="0.25">
      <c r="A139" s="743"/>
      <c r="B139" s="756"/>
      <c r="C139" s="728"/>
      <c r="D139" s="750"/>
      <c r="E139" s="76"/>
      <c r="F139" s="76"/>
      <c r="G139" s="187"/>
      <c r="H139" s="302"/>
      <c r="I139" s="79" t="s">
        <v>147</v>
      </c>
      <c r="J139" s="80">
        <v>100</v>
      </c>
      <c r="K139" s="81"/>
      <c r="L139" s="230"/>
      <c r="M139" s="83" t="s">
        <v>486</v>
      </c>
      <c r="N139" s="80">
        <v>0</v>
      </c>
      <c r="O139" s="79">
        <v>4</v>
      </c>
      <c r="P139" s="80" t="s">
        <v>632</v>
      </c>
      <c r="Q139" s="79" t="s">
        <v>633</v>
      </c>
      <c r="R139" s="85" t="s">
        <v>488</v>
      </c>
      <c r="S139" s="72">
        <f t="shared" si="8"/>
        <v>0</v>
      </c>
      <c r="T139" s="72">
        <f t="shared" si="10"/>
        <v>0</v>
      </c>
      <c r="U139" s="73">
        <v>4</v>
      </c>
      <c r="V139" s="74">
        <v>4</v>
      </c>
    </row>
    <row r="140" spans="1:22" s="46" customFormat="1" ht="18" customHeight="1" x14ac:dyDescent="0.25">
      <c r="A140" s="743"/>
      <c r="B140" s="756"/>
      <c r="C140" s="728"/>
      <c r="D140" s="750"/>
      <c r="E140" s="76"/>
      <c r="F140" s="76"/>
      <c r="G140" s="187"/>
      <c r="H140" s="302"/>
      <c r="I140" s="79" t="s">
        <v>148</v>
      </c>
      <c r="J140" s="80">
        <v>100</v>
      </c>
      <c r="K140" s="81"/>
      <c r="L140" s="230"/>
      <c r="M140" s="83" t="s">
        <v>486</v>
      </c>
      <c r="N140" s="80">
        <v>123</v>
      </c>
      <c r="O140" s="79">
        <v>1</v>
      </c>
      <c r="P140" s="80" t="s">
        <v>632</v>
      </c>
      <c r="Q140" s="81"/>
      <c r="R140" s="85" t="s">
        <v>488</v>
      </c>
      <c r="S140" s="72">
        <f t="shared" si="8"/>
        <v>41</v>
      </c>
      <c r="T140" s="72">
        <f t="shared" si="10"/>
        <v>14</v>
      </c>
      <c r="U140" s="72">
        <f t="shared" ref="U140:U200" si="11">ROUND(O140/3,0)</f>
        <v>0</v>
      </c>
      <c r="V140" s="86">
        <f t="shared" si="9"/>
        <v>0</v>
      </c>
    </row>
    <row r="141" spans="1:22" s="46" customFormat="1" ht="18" customHeight="1" x14ac:dyDescent="0.25">
      <c r="A141" s="743"/>
      <c r="B141" s="756"/>
      <c r="C141" s="728"/>
      <c r="D141" s="750"/>
      <c r="E141" s="76"/>
      <c r="F141" s="76"/>
      <c r="G141" s="187"/>
      <c r="H141" s="302"/>
      <c r="I141" s="79" t="s">
        <v>163</v>
      </c>
      <c r="J141" s="80">
        <v>250</v>
      </c>
      <c r="K141" s="81"/>
      <c r="L141" s="230"/>
      <c r="M141" s="83" t="s">
        <v>486</v>
      </c>
      <c r="N141" s="80">
        <v>71</v>
      </c>
      <c r="O141" s="79">
        <v>6</v>
      </c>
      <c r="P141" s="80" t="s">
        <v>632</v>
      </c>
      <c r="Q141" s="81"/>
      <c r="R141" s="85" t="s">
        <v>488</v>
      </c>
      <c r="S141" s="72">
        <f t="shared" si="8"/>
        <v>24</v>
      </c>
      <c r="T141" s="72">
        <f t="shared" si="10"/>
        <v>8</v>
      </c>
      <c r="U141" s="72">
        <f t="shared" si="11"/>
        <v>2</v>
      </c>
      <c r="V141" s="86">
        <f t="shared" si="9"/>
        <v>1</v>
      </c>
    </row>
    <row r="142" spans="1:22" s="46" customFormat="1" ht="18" customHeight="1" x14ac:dyDescent="0.25">
      <c r="A142" s="743"/>
      <c r="B142" s="756"/>
      <c r="C142" s="728"/>
      <c r="D142" s="750"/>
      <c r="E142" s="76"/>
      <c r="F142" s="76"/>
      <c r="G142" s="187"/>
      <c r="H142" s="302"/>
      <c r="I142" s="79" t="s">
        <v>303</v>
      </c>
      <c r="J142" s="80">
        <v>400</v>
      </c>
      <c r="K142" s="81"/>
      <c r="L142" s="230"/>
      <c r="M142" s="83" t="s">
        <v>486</v>
      </c>
      <c r="N142" s="80">
        <v>112</v>
      </c>
      <c r="O142" s="79">
        <v>6</v>
      </c>
      <c r="P142" s="80" t="s">
        <v>634</v>
      </c>
      <c r="Q142" s="81"/>
      <c r="R142" s="85" t="s">
        <v>488</v>
      </c>
      <c r="S142" s="72">
        <f t="shared" si="8"/>
        <v>37</v>
      </c>
      <c r="T142" s="72">
        <f t="shared" si="10"/>
        <v>12</v>
      </c>
      <c r="U142" s="72">
        <f t="shared" si="11"/>
        <v>2</v>
      </c>
      <c r="V142" s="86">
        <f t="shared" si="9"/>
        <v>1</v>
      </c>
    </row>
    <row r="143" spans="1:22" s="46" customFormat="1" ht="18" customHeight="1" x14ac:dyDescent="0.25">
      <c r="A143" s="743"/>
      <c r="B143" s="756"/>
      <c r="C143" s="728"/>
      <c r="D143" s="750"/>
      <c r="E143" s="76"/>
      <c r="F143" s="76"/>
      <c r="G143" s="187"/>
      <c r="H143" s="302"/>
      <c r="I143" s="79" t="s">
        <v>188</v>
      </c>
      <c r="J143" s="80">
        <v>60</v>
      </c>
      <c r="K143" s="81"/>
      <c r="L143" s="230"/>
      <c r="M143" s="83" t="s">
        <v>486</v>
      </c>
      <c r="N143" s="80">
        <v>0</v>
      </c>
      <c r="O143" s="79">
        <v>1</v>
      </c>
      <c r="P143" s="80" t="s">
        <v>634</v>
      </c>
      <c r="Q143" s="79" t="s">
        <v>553</v>
      </c>
      <c r="R143" s="85" t="s">
        <v>488</v>
      </c>
      <c r="S143" s="72">
        <f t="shared" si="8"/>
        <v>0</v>
      </c>
      <c r="T143" s="72">
        <f t="shared" si="10"/>
        <v>0</v>
      </c>
      <c r="U143" s="73">
        <v>1</v>
      </c>
      <c r="V143" s="74">
        <v>1</v>
      </c>
    </row>
    <row r="144" spans="1:22" s="46" customFormat="1" ht="18" customHeight="1" x14ac:dyDescent="0.25">
      <c r="A144" s="743"/>
      <c r="B144" s="756"/>
      <c r="C144" s="728"/>
      <c r="D144" s="750"/>
      <c r="E144" s="76"/>
      <c r="F144" s="76"/>
      <c r="G144" s="187"/>
      <c r="H144" s="302"/>
      <c r="I144" s="79" t="s">
        <v>302</v>
      </c>
      <c r="J144" s="80">
        <v>100</v>
      </c>
      <c r="K144" s="81"/>
      <c r="L144" s="230"/>
      <c r="M144" s="83" t="s">
        <v>486</v>
      </c>
      <c r="N144" s="80">
        <v>94</v>
      </c>
      <c r="O144" s="79">
        <v>9</v>
      </c>
      <c r="P144" s="80" t="s">
        <v>634</v>
      </c>
      <c r="Q144" s="81"/>
      <c r="R144" s="85" t="s">
        <v>488</v>
      </c>
      <c r="S144" s="72">
        <f t="shared" si="8"/>
        <v>31</v>
      </c>
      <c r="T144" s="72">
        <f t="shared" si="10"/>
        <v>10</v>
      </c>
      <c r="U144" s="72">
        <f t="shared" si="11"/>
        <v>3</v>
      </c>
      <c r="V144" s="86">
        <f t="shared" si="9"/>
        <v>1</v>
      </c>
    </row>
    <row r="145" spans="1:22" s="46" customFormat="1" ht="18" customHeight="1" x14ac:dyDescent="0.25">
      <c r="A145" s="743"/>
      <c r="B145" s="756"/>
      <c r="C145" s="728"/>
      <c r="D145" s="750"/>
      <c r="E145" s="76"/>
      <c r="F145" s="76"/>
      <c r="G145" s="187"/>
      <c r="H145" s="302"/>
      <c r="I145" s="79" t="s">
        <v>173</v>
      </c>
      <c r="J145" s="80">
        <v>100</v>
      </c>
      <c r="K145" s="81"/>
      <c r="L145" s="230"/>
      <c r="M145" s="83" t="s">
        <v>486</v>
      </c>
      <c r="N145" s="80">
        <v>0</v>
      </c>
      <c r="O145" s="79">
        <v>0</v>
      </c>
      <c r="P145" s="80" t="s">
        <v>634</v>
      </c>
      <c r="Q145" s="81"/>
      <c r="R145" s="85" t="s">
        <v>488</v>
      </c>
      <c r="S145" s="72">
        <f t="shared" si="8"/>
        <v>0</v>
      </c>
      <c r="T145" s="72">
        <f t="shared" si="10"/>
        <v>0</v>
      </c>
      <c r="U145" s="189">
        <v>0</v>
      </c>
      <c r="V145" s="297">
        <v>0</v>
      </c>
    </row>
    <row r="146" spans="1:22" s="46" customFormat="1" ht="18" customHeight="1" x14ac:dyDescent="0.25">
      <c r="A146" s="743"/>
      <c r="B146" s="756"/>
      <c r="C146" s="728"/>
      <c r="D146" s="750"/>
      <c r="E146" s="76"/>
      <c r="F146" s="76"/>
      <c r="G146" s="187"/>
      <c r="H146" s="302"/>
      <c r="I146" s="79" t="s">
        <v>635</v>
      </c>
      <c r="J146" s="80">
        <v>63</v>
      </c>
      <c r="K146" s="81"/>
      <c r="L146" s="230"/>
      <c r="M146" s="83" t="s">
        <v>486</v>
      </c>
      <c r="N146" s="80">
        <v>39</v>
      </c>
      <c r="O146" s="79">
        <v>0</v>
      </c>
      <c r="P146" s="80" t="s">
        <v>634</v>
      </c>
      <c r="Q146" s="81"/>
      <c r="R146" s="85" t="s">
        <v>488</v>
      </c>
      <c r="S146" s="72">
        <f t="shared" si="8"/>
        <v>13</v>
      </c>
      <c r="T146" s="72">
        <f t="shared" si="10"/>
        <v>4</v>
      </c>
      <c r="U146" s="72">
        <f t="shared" si="11"/>
        <v>0</v>
      </c>
      <c r="V146" s="86">
        <f t="shared" si="9"/>
        <v>0</v>
      </c>
    </row>
    <row r="147" spans="1:22" s="46" customFormat="1" ht="18" customHeight="1" x14ac:dyDescent="0.25">
      <c r="A147" s="743"/>
      <c r="B147" s="756"/>
      <c r="C147" s="728"/>
      <c r="D147" s="750"/>
      <c r="E147" s="76"/>
      <c r="F147" s="76"/>
      <c r="G147" s="187"/>
      <c r="H147" s="302"/>
      <c r="I147" s="79" t="s">
        <v>301</v>
      </c>
      <c r="J147" s="80">
        <v>60</v>
      </c>
      <c r="K147" s="81"/>
      <c r="L147" s="230"/>
      <c r="M147" s="83" t="s">
        <v>486</v>
      </c>
      <c r="N147" s="80">
        <v>30</v>
      </c>
      <c r="O147" s="79">
        <v>1</v>
      </c>
      <c r="P147" s="80" t="s">
        <v>634</v>
      </c>
      <c r="Q147" s="81"/>
      <c r="R147" s="85" t="s">
        <v>488</v>
      </c>
      <c r="S147" s="72">
        <f t="shared" si="8"/>
        <v>10</v>
      </c>
      <c r="T147" s="72">
        <f t="shared" si="10"/>
        <v>3</v>
      </c>
      <c r="U147" s="72">
        <f t="shared" si="11"/>
        <v>0</v>
      </c>
      <c r="V147" s="86">
        <f t="shared" si="9"/>
        <v>0</v>
      </c>
    </row>
    <row r="148" spans="1:22" s="46" customFormat="1" ht="18" customHeight="1" thickBot="1" x14ac:dyDescent="0.3">
      <c r="A148" s="743"/>
      <c r="B148" s="756"/>
      <c r="C148" s="728"/>
      <c r="D148" s="750"/>
      <c r="E148" s="76"/>
      <c r="F148" s="76"/>
      <c r="G148" s="187"/>
      <c r="H148" s="302"/>
      <c r="I148" s="192" t="s">
        <v>636</v>
      </c>
      <c r="J148" s="193">
        <v>25</v>
      </c>
      <c r="K148" s="194"/>
      <c r="L148" s="303"/>
      <c r="M148" s="196" t="s">
        <v>486</v>
      </c>
      <c r="N148" s="193">
        <v>0</v>
      </c>
      <c r="O148" s="192">
        <v>1</v>
      </c>
      <c r="P148" s="193" t="s">
        <v>632</v>
      </c>
      <c r="Q148" s="304" t="s">
        <v>563</v>
      </c>
      <c r="R148" s="198" t="s">
        <v>449</v>
      </c>
      <c r="S148" s="72">
        <f t="shared" si="8"/>
        <v>0</v>
      </c>
      <c r="T148" s="72">
        <f t="shared" si="10"/>
        <v>0</v>
      </c>
      <c r="U148" s="244">
        <v>1</v>
      </c>
      <c r="V148" s="188">
        <v>1</v>
      </c>
    </row>
    <row r="149" spans="1:22" s="46" customFormat="1" ht="18" customHeight="1" x14ac:dyDescent="0.25">
      <c r="A149" s="743"/>
      <c r="B149" s="756"/>
      <c r="C149" s="728"/>
      <c r="D149" s="750"/>
      <c r="E149" s="76"/>
      <c r="F149" s="76"/>
      <c r="G149" s="187"/>
      <c r="H149" s="302"/>
      <c r="I149" s="79" t="s">
        <v>637</v>
      </c>
      <c r="J149" s="80">
        <v>160</v>
      </c>
      <c r="K149" s="81"/>
      <c r="L149" s="230"/>
      <c r="M149" s="83" t="s">
        <v>486</v>
      </c>
      <c r="N149" s="80">
        <v>103</v>
      </c>
      <c r="O149" s="79">
        <v>0</v>
      </c>
      <c r="P149" s="80" t="s">
        <v>632</v>
      </c>
      <c r="Q149" s="81"/>
      <c r="R149" s="85" t="s">
        <v>488</v>
      </c>
      <c r="S149" s="72">
        <f t="shared" ref="S149:S212" si="12">ROUND(N149/3,0)</f>
        <v>34</v>
      </c>
      <c r="T149" s="72">
        <f t="shared" si="10"/>
        <v>11</v>
      </c>
      <c r="U149" s="72">
        <f t="shared" si="11"/>
        <v>0</v>
      </c>
      <c r="V149" s="86">
        <f t="shared" si="9"/>
        <v>0</v>
      </c>
    </row>
    <row r="150" spans="1:22" s="46" customFormat="1" ht="18" customHeight="1" x14ac:dyDescent="0.25">
      <c r="A150" s="743"/>
      <c r="B150" s="756"/>
      <c r="C150" s="728"/>
      <c r="D150" s="750"/>
      <c r="E150" s="76"/>
      <c r="F150" s="76"/>
      <c r="G150" s="187"/>
      <c r="H150" s="302"/>
      <c r="I150" s="79" t="s">
        <v>125</v>
      </c>
      <c r="J150" s="80">
        <v>160</v>
      </c>
      <c r="K150" s="81"/>
      <c r="L150" s="230"/>
      <c r="M150" s="83" t="s">
        <v>486</v>
      </c>
      <c r="N150" s="80">
        <v>173</v>
      </c>
      <c r="O150" s="79">
        <v>16</v>
      </c>
      <c r="P150" s="80" t="s">
        <v>632</v>
      </c>
      <c r="Q150" s="81"/>
      <c r="R150" s="85" t="s">
        <v>488</v>
      </c>
      <c r="S150" s="72">
        <f t="shared" si="12"/>
        <v>58</v>
      </c>
      <c r="T150" s="72">
        <f t="shared" si="10"/>
        <v>19</v>
      </c>
      <c r="U150" s="72">
        <f t="shared" si="11"/>
        <v>5</v>
      </c>
      <c r="V150" s="86">
        <f t="shared" si="9"/>
        <v>2</v>
      </c>
    </row>
    <row r="151" spans="1:22" s="46" customFormat="1" ht="18" customHeight="1" x14ac:dyDescent="0.25">
      <c r="A151" s="743"/>
      <c r="B151" s="756"/>
      <c r="C151" s="728"/>
      <c r="D151" s="750"/>
      <c r="E151" s="76"/>
      <c r="F151" s="76"/>
      <c r="G151" s="187"/>
      <c r="H151" s="302"/>
      <c r="I151" s="88" t="s">
        <v>638</v>
      </c>
      <c r="J151" s="89">
        <v>25</v>
      </c>
      <c r="K151" s="90"/>
      <c r="L151" s="229"/>
      <c r="M151" s="92" t="s">
        <v>486</v>
      </c>
      <c r="N151" s="89">
        <v>0</v>
      </c>
      <c r="O151" s="88">
        <v>1</v>
      </c>
      <c r="P151" s="89" t="s">
        <v>632</v>
      </c>
      <c r="Q151" s="88" t="s">
        <v>639</v>
      </c>
      <c r="R151" s="95" t="s">
        <v>565</v>
      </c>
      <c r="S151" s="72">
        <f t="shared" si="12"/>
        <v>0</v>
      </c>
      <c r="T151" s="72">
        <f t="shared" si="10"/>
        <v>0</v>
      </c>
      <c r="U151" s="95">
        <v>1</v>
      </c>
      <c r="V151" s="89">
        <v>1</v>
      </c>
    </row>
    <row r="152" spans="1:22" s="46" customFormat="1" ht="18" customHeight="1" x14ac:dyDescent="0.25">
      <c r="A152" s="743"/>
      <c r="B152" s="756"/>
      <c r="C152" s="728"/>
      <c r="D152" s="750"/>
      <c r="E152" s="228"/>
      <c r="F152" s="305"/>
      <c r="G152" s="187"/>
      <c r="H152" s="302"/>
      <c r="I152" s="88" t="s">
        <v>640</v>
      </c>
      <c r="J152" s="89">
        <v>250</v>
      </c>
      <c r="K152" s="90"/>
      <c r="L152" s="229"/>
      <c r="M152" s="92" t="s">
        <v>486</v>
      </c>
      <c r="N152" s="89">
        <v>0</v>
      </c>
      <c r="O152" s="88">
        <v>1</v>
      </c>
      <c r="P152" s="89" t="s">
        <v>632</v>
      </c>
      <c r="Q152" s="88" t="s">
        <v>641</v>
      </c>
      <c r="R152" s="95" t="s">
        <v>642</v>
      </c>
      <c r="S152" s="72">
        <f t="shared" si="12"/>
        <v>0</v>
      </c>
      <c r="T152" s="72">
        <f t="shared" si="10"/>
        <v>0</v>
      </c>
      <c r="U152" s="95">
        <v>1</v>
      </c>
      <c r="V152" s="89">
        <v>1</v>
      </c>
    </row>
    <row r="153" spans="1:22" s="46" customFormat="1" ht="18" customHeight="1" x14ac:dyDescent="0.25">
      <c r="A153" s="743"/>
      <c r="B153" s="756"/>
      <c r="C153" s="728"/>
      <c r="D153" s="750"/>
      <c r="E153" s="228"/>
      <c r="F153" s="305"/>
      <c r="G153" s="187"/>
      <c r="H153" s="302"/>
      <c r="I153" s="79" t="s">
        <v>123</v>
      </c>
      <c r="J153" s="80">
        <v>250</v>
      </c>
      <c r="K153" s="81"/>
      <c r="L153" s="230"/>
      <c r="M153" s="83" t="s">
        <v>486</v>
      </c>
      <c r="N153" s="80">
        <v>0</v>
      </c>
      <c r="O153" s="79">
        <v>1</v>
      </c>
      <c r="P153" s="80" t="s">
        <v>632</v>
      </c>
      <c r="Q153" s="81"/>
      <c r="R153" s="85" t="s">
        <v>488</v>
      </c>
      <c r="S153" s="72">
        <f t="shared" si="12"/>
        <v>0</v>
      </c>
      <c r="T153" s="72">
        <f t="shared" si="10"/>
        <v>0</v>
      </c>
      <c r="U153" s="73">
        <v>1</v>
      </c>
      <c r="V153" s="74">
        <v>1</v>
      </c>
    </row>
    <row r="154" spans="1:22" s="46" customFormat="1" ht="18" customHeight="1" x14ac:dyDescent="0.25">
      <c r="A154" s="743"/>
      <c r="B154" s="756"/>
      <c r="C154" s="728"/>
      <c r="D154" s="750"/>
      <c r="E154" s="228"/>
      <c r="F154" s="305"/>
      <c r="G154" s="187"/>
      <c r="H154" s="302"/>
      <c r="I154" s="79" t="s">
        <v>122</v>
      </c>
      <c r="J154" s="80">
        <v>100</v>
      </c>
      <c r="K154" s="81"/>
      <c r="L154" s="230"/>
      <c r="M154" s="83" t="s">
        <v>486</v>
      </c>
      <c r="N154" s="80">
        <v>149</v>
      </c>
      <c r="O154" s="79">
        <v>1</v>
      </c>
      <c r="P154" s="80" t="s">
        <v>632</v>
      </c>
      <c r="Q154" s="81"/>
      <c r="R154" s="85" t="s">
        <v>488</v>
      </c>
      <c r="S154" s="72">
        <f t="shared" si="12"/>
        <v>50</v>
      </c>
      <c r="T154" s="72">
        <f t="shared" si="10"/>
        <v>17</v>
      </c>
      <c r="U154" s="72">
        <f t="shared" si="11"/>
        <v>0</v>
      </c>
      <c r="V154" s="86">
        <f t="shared" si="9"/>
        <v>0</v>
      </c>
    </row>
    <row r="155" spans="1:22" s="46" customFormat="1" ht="18" customHeight="1" x14ac:dyDescent="0.25">
      <c r="A155" s="743"/>
      <c r="B155" s="756"/>
      <c r="C155" s="728"/>
      <c r="D155" s="750"/>
      <c r="E155" s="76"/>
      <c r="F155" s="76"/>
      <c r="G155" s="187"/>
      <c r="H155" s="302"/>
      <c r="I155" s="88" t="s">
        <v>643</v>
      </c>
      <c r="J155" s="89">
        <v>100</v>
      </c>
      <c r="K155" s="90"/>
      <c r="L155" s="229"/>
      <c r="M155" s="92" t="s">
        <v>486</v>
      </c>
      <c r="N155" s="89">
        <v>0</v>
      </c>
      <c r="O155" s="88">
        <v>4</v>
      </c>
      <c r="P155" s="89" t="s">
        <v>632</v>
      </c>
      <c r="Q155" s="90"/>
      <c r="R155" s="95" t="s">
        <v>642</v>
      </c>
      <c r="S155" s="72">
        <f t="shared" si="12"/>
        <v>0</v>
      </c>
      <c r="T155" s="72">
        <f t="shared" si="10"/>
        <v>0</v>
      </c>
      <c r="U155" s="244">
        <v>4</v>
      </c>
      <c r="V155" s="188">
        <v>4</v>
      </c>
    </row>
    <row r="156" spans="1:22" s="46" customFormat="1" ht="18" customHeight="1" x14ac:dyDescent="0.25">
      <c r="A156" s="743"/>
      <c r="B156" s="756"/>
      <c r="C156" s="728"/>
      <c r="D156" s="750"/>
      <c r="E156" s="76"/>
      <c r="F156" s="76"/>
      <c r="G156" s="187"/>
      <c r="H156" s="302"/>
      <c r="I156" s="79" t="s">
        <v>196</v>
      </c>
      <c r="J156" s="80">
        <v>100</v>
      </c>
      <c r="K156" s="81"/>
      <c r="L156" s="230"/>
      <c r="M156" s="83" t="s">
        <v>486</v>
      </c>
      <c r="N156" s="80">
        <v>134</v>
      </c>
      <c r="O156" s="79">
        <v>2</v>
      </c>
      <c r="P156" s="80" t="s">
        <v>632</v>
      </c>
      <c r="Q156" s="81"/>
      <c r="R156" s="85" t="s">
        <v>488</v>
      </c>
      <c r="S156" s="72">
        <f t="shared" si="12"/>
        <v>45</v>
      </c>
      <c r="T156" s="72">
        <f t="shared" si="10"/>
        <v>15</v>
      </c>
      <c r="U156" s="72">
        <f t="shared" si="11"/>
        <v>1</v>
      </c>
      <c r="V156" s="86">
        <f t="shared" si="9"/>
        <v>0</v>
      </c>
    </row>
    <row r="157" spans="1:22" s="46" customFormat="1" ht="18" customHeight="1" x14ac:dyDescent="0.25">
      <c r="A157" s="743"/>
      <c r="B157" s="756"/>
      <c r="C157" s="728"/>
      <c r="D157" s="750"/>
      <c r="E157" s="76"/>
      <c r="F157" s="76"/>
      <c r="G157" s="187"/>
      <c r="H157" s="302"/>
      <c r="I157" s="79" t="s">
        <v>124</v>
      </c>
      <c r="J157" s="80">
        <v>100</v>
      </c>
      <c r="K157" s="81"/>
      <c r="L157" s="230"/>
      <c r="M157" s="83" t="s">
        <v>486</v>
      </c>
      <c r="N157" s="80">
        <v>148</v>
      </c>
      <c r="O157" s="79">
        <v>0</v>
      </c>
      <c r="P157" s="80" t="s">
        <v>632</v>
      </c>
      <c r="Q157" s="81"/>
      <c r="R157" s="85" t="s">
        <v>488</v>
      </c>
      <c r="S157" s="72">
        <f t="shared" si="12"/>
        <v>49</v>
      </c>
      <c r="T157" s="72">
        <f t="shared" si="10"/>
        <v>16</v>
      </c>
      <c r="U157" s="72">
        <f t="shared" si="11"/>
        <v>0</v>
      </c>
      <c r="V157" s="86">
        <f t="shared" si="9"/>
        <v>0</v>
      </c>
    </row>
    <row r="158" spans="1:22" s="46" customFormat="1" ht="18" customHeight="1" x14ac:dyDescent="0.25">
      <c r="A158" s="743"/>
      <c r="B158" s="756"/>
      <c r="C158" s="728"/>
      <c r="D158" s="750"/>
      <c r="E158" s="76"/>
      <c r="F158" s="76"/>
      <c r="G158" s="187"/>
      <c r="H158" s="302"/>
      <c r="I158" s="79" t="s">
        <v>273</v>
      </c>
      <c r="J158" s="80">
        <v>160</v>
      </c>
      <c r="K158" s="81"/>
      <c r="L158" s="230"/>
      <c r="M158" s="83" t="s">
        <v>486</v>
      </c>
      <c r="N158" s="80">
        <v>99</v>
      </c>
      <c r="O158" s="79">
        <v>2</v>
      </c>
      <c r="P158" s="80" t="s">
        <v>632</v>
      </c>
      <c r="Q158" s="81"/>
      <c r="R158" s="85" t="s">
        <v>488</v>
      </c>
      <c r="S158" s="72">
        <f t="shared" si="12"/>
        <v>33</v>
      </c>
      <c r="T158" s="72">
        <f t="shared" si="10"/>
        <v>11</v>
      </c>
      <c r="U158" s="72">
        <f t="shared" si="11"/>
        <v>1</v>
      </c>
      <c r="V158" s="86">
        <f t="shared" si="9"/>
        <v>0</v>
      </c>
    </row>
    <row r="159" spans="1:22" s="46" customFormat="1" ht="18" customHeight="1" thickBot="1" x14ac:dyDescent="0.3">
      <c r="A159" s="743"/>
      <c r="B159" s="756"/>
      <c r="C159" s="728"/>
      <c r="D159" s="750"/>
      <c r="E159" s="76"/>
      <c r="F159" s="76"/>
      <c r="G159" s="187"/>
      <c r="H159" s="302"/>
      <c r="I159" s="88" t="s">
        <v>644</v>
      </c>
      <c r="J159" s="89">
        <v>25</v>
      </c>
      <c r="K159" s="90"/>
      <c r="L159" s="229"/>
      <c r="M159" s="92" t="s">
        <v>486</v>
      </c>
      <c r="N159" s="89">
        <v>0</v>
      </c>
      <c r="O159" s="88">
        <v>1</v>
      </c>
      <c r="P159" s="89" t="s">
        <v>632</v>
      </c>
      <c r="Q159" s="88" t="s">
        <v>645</v>
      </c>
      <c r="R159" s="95" t="s">
        <v>621</v>
      </c>
      <c r="S159" s="72">
        <f t="shared" si="12"/>
        <v>0</v>
      </c>
      <c r="T159" s="72">
        <f t="shared" si="10"/>
        <v>0</v>
      </c>
      <c r="U159" s="95">
        <v>1</v>
      </c>
      <c r="V159" s="89">
        <v>1</v>
      </c>
    </row>
    <row r="160" spans="1:22" s="46" customFormat="1" ht="18" customHeight="1" x14ac:dyDescent="0.25">
      <c r="A160" s="743"/>
      <c r="B160" s="756"/>
      <c r="C160" s="748" t="s">
        <v>646</v>
      </c>
      <c r="D160" s="749"/>
      <c r="E160" s="64"/>
      <c r="F160" s="64"/>
      <c r="G160" s="298"/>
      <c r="H160" s="306"/>
      <c r="I160" s="67" t="s">
        <v>324</v>
      </c>
      <c r="J160" s="68">
        <v>250</v>
      </c>
      <c r="K160" s="178"/>
      <c r="L160" s="243"/>
      <c r="M160" s="70" t="s">
        <v>486</v>
      </c>
      <c r="N160" s="68">
        <v>0</v>
      </c>
      <c r="O160" s="67">
        <v>3</v>
      </c>
      <c r="P160" s="68" t="s">
        <v>433</v>
      </c>
      <c r="Q160" s="199"/>
      <c r="R160" s="71" t="s">
        <v>488</v>
      </c>
      <c r="S160" s="72">
        <f t="shared" si="12"/>
        <v>0</v>
      </c>
      <c r="T160" s="72">
        <f t="shared" si="10"/>
        <v>0</v>
      </c>
      <c r="U160" s="73">
        <v>3</v>
      </c>
      <c r="V160" s="74">
        <v>3</v>
      </c>
    </row>
    <row r="161" spans="1:22" s="46" customFormat="1" ht="18" customHeight="1" x14ac:dyDescent="0.25">
      <c r="A161" s="743"/>
      <c r="B161" s="756"/>
      <c r="C161" s="728"/>
      <c r="D161" s="750"/>
      <c r="E161" s="76"/>
      <c r="F161" s="76"/>
      <c r="G161" s="187"/>
      <c r="H161" s="302"/>
      <c r="I161" s="79" t="s">
        <v>647</v>
      </c>
      <c r="J161" s="80">
        <v>63</v>
      </c>
      <c r="K161" s="81"/>
      <c r="L161" s="230"/>
      <c r="M161" s="83" t="s">
        <v>486</v>
      </c>
      <c r="N161" s="80">
        <v>28</v>
      </c>
      <c r="O161" s="79">
        <v>0</v>
      </c>
      <c r="P161" s="80" t="s">
        <v>433</v>
      </c>
      <c r="Q161" s="81"/>
      <c r="R161" s="85" t="s">
        <v>488</v>
      </c>
      <c r="S161" s="72">
        <f t="shared" si="12"/>
        <v>9</v>
      </c>
      <c r="T161" s="72">
        <f t="shared" si="10"/>
        <v>3</v>
      </c>
      <c r="U161" s="72">
        <f t="shared" si="11"/>
        <v>0</v>
      </c>
      <c r="V161" s="86">
        <f t="shared" si="9"/>
        <v>0</v>
      </c>
    </row>
    <row r="162" spans="1:22" s="46" customFormat="1" ht="18" customHeight="1" x14ac:dyDescent="0.25">
      <c r="A162" s="743"/>
      <c r="B162" s="756"/>
      <c r="C162" s="728"/>
      <c r="D162" s="750"/>
      <c r="E162" s="76"/>
      <c r="F162" s="76"/>
      <c r="G162" s="187"/>
      <c r="H162" s="302"/>
      <c r="I162" s="79" t="s">
        <v>406</v>
      </c>
      <c r="J162" s="80">
        <v>400</v>
      </c>
      <c r="K162" s="79">
        <v>250</v>
      </c>
      <c r="L162" s="230"/>
      <c r="M162" s="83" t="s">
        <v>486</v>
      </c>
      <c r="N162" s="80">
        <v>0</v>
      </c>
      <c r="O162" s="79">
        <v>5</v>
      </c>
      <c r="P162" s="80" t="s">
        <v>433</v>
      </c>
      <c r="Q162" s="81"/>
      <c r="R162" s="85" t="s">
        <v>488</v>
      </c>
      <c r="S162" s="72">
        <f t="shared" si="12"/>
        <v>0</v>
      </c>
      <c r="T162" s="72">
        <f t="shared" si="10"/>
        <v>0</v>
      </c>
      <c r="U162" s="189">
        <v>5</v>
      </c>
      <c r="V162" s="297">
        <v>5</v>
      </c>
    </row>
    <row r="163" spans="1:22" s="46" customFormat="1" ht="18" customHeight="1" x14ac:dyDescent="0.25">
      <c r="A163" s="743"/>
      <c r="B163" s="756"/>
      <c r="C163" s="728"/>
      <c r="D163" s="750"/>
      <c r="E163" s="76"/>
      <c r="F163" s="76"/>
      <c r="G163" s="187"/>
      <c r="H163" s="302"/>
      <c r="I163" s="79" t="s">
        <v>371</v>
      </c>
      <c r="J163" s="80">
        <v>160</v>
      </c>
      <c r="K163" s="81"/>
      <c r="L163" s="230"/>
      <c r="M163" s="83" t="s">
        <v>486</v>
      </c>
      <c r="N163" s="80">
        <v>4</v>
      </c>
      <c r="O163" s="79">
        <v>43</v>
      </c>
      <c r="P163" s="80" t="s">
        <v>433</v>
      </c>
      <c r="Q163" s="81"/>
      <c r="R163" s="85" t="s">
        <v>488</v>
      </c>
      <c r="S163" s="72">
        <f t="shared" si="12"/>
        <v>1</v>
      </c>
      <c r="T163" s="72">
        <f t="shared" si="10"/>
        <v>0</v>
      </c>
      <c r="U163" s="72">
        <f t="shared" si="11"/>
        <v>14</v>
      </c>
      <c r="V163" s="86">
        <f t="shared" si="9"/>
        <v>5</v>
      </c>
    </row>
    <row r="164" spans="1:22" s="46" customFormat="1" ht="18" customHeight="1" x14ac:dyDescent="0.25">
      <c r="A164" s="743"/>
      <c r="B164" s="756"/>
      <c r="C164" s="728"/>
      <c r="D164" s="750"/>
      <c r="E164" s="76"/>
      <c r="F164" s="76"/>
      <c r="G164" s="187"/>
      <c r="H164" s="302"/>
      <c r="I164" s="79" t="s">
        <v>416</v>
      </c>
      <c r="J164" s="80">
        <v>160</v>
      </c>
      <c r="K164" s="81"/>
      <c r="L164" s="230"/>
      <c r="M164" s="83" t="s">
        <v>486</v>
      </c>
      <c r="N164" s="80">
        <v>108</v>
      </c>
      <c r="O164" s="79">
        <v>13</v>
      </c>
      <c r="P164" s="80" t="s">
        <v>433</v>
      </c>
      <c r="Q164" s="81"/>
      <c r="R164" s="85" t="s">
        <v>488</v>
      </c>
      <c r="S164" s="72">
        <f t="shared" si="12"/>
        <v>36</v>
      </c>
      <c r="T164" s="72">
        <f t="shared" si="10"/>
        <v>12</v>
      </c>
      <c r="U164" s="72">
        <f t="shared" si="11"/>
        <v>4</v>
      </c>
      <c r="V164" s="86">
        <f t="shared" si="9"/>
        <v>1</v>
      </c>
    </row>
    <row r="165" spans="1:22" s="46" customFormat="1" ht="18" customHeight="1" thickBot="1" x14ac:dyDescent="0.3">
      <c r="A165" s="743"/>
      <c r="B165" s="756"/>
      <c r="C165" s="728"/>
      <c r="D165" s="750"/>
      <c r="E165" s="305"/>
      <c r="F165" s="305"/>
      <c r="G165" s="187"/>
      <c r="H165" s="307"/>
      <c r="I165" s="101" t="s">
        <v>648</v>
      </c>
      <c r="J165" s="102">
        <v>320</v>
      </c>
      <c r="K165" s="103"/>
      <c r="L165" s="281"/>
      <c r="M165" s="105" t="s">
        <v>486</v>
      </c>
      <c r="N165" s="102">
        <v>0</v>
      </c>
      <c r="O165" s="101">
        <v>1</v>
      </c>
      <c r="P165" s="102" t="s">
        <v>433</v>
      </c>
      <c r="Q165" s="103"/>
      <c r="R165" s="282" t="s">
        <v>570</v>
      </c>
      <c r="S165" s="72">
        <f t="shared" si="12"/>
        <v>0</v>
      </c>
      <c r="T165" s="72">
        <f t="shared" si="10"/>
        <v>0</v>
      </c>
      <c r="U165" s="244">
        <v>1</v>
      </c>
      <c r="V165" s="188">
        <v>1</v>
      </c>
    </row>
    <row r="166" spans="1:22" s="46" customFormat="1" ht="18" customHeight="1" x14ac:dyDescent="0.25">
      <c r="A166" s="743"/>
      <c r="B166" s="756"/>
      <c r="C166" s="728"/>
      <c r="D166" s="750"/>
      <c r="E166" s="305"/>
      <c r="F166" s="305"/>
      <c r="G166" s="187"/>
      <c r="H166" s="760" t="s">
        <v>649</v>
      </c>
      <c r="I166" s="67" t="s">
        <v>374</v>
      </c>
      <c r="J166" s="68">
        <v>250</v>
      </c>
      <c r="K166" s="178"/>
      <c r="L166" s="243"/>
      <c r="M166" s="70" t="s">
        <v>486</v>
      </c>
      <c r="N166" s="68">
        <v>139</v>
      </c>
      <c r="O166" s="67">
        <v>13</v>
      </c>
      <c r="P166" s="68" t="s">
        <v>433</v>
      </c>
      <c r="Q166" s="178"/>
      <c r="R166" s="71" t="s">
        <v>488</v>
      </c>
      <c r="S166" s="72">
        <f t="shared" si="12"/>
        <v>46</v>
      </c>
      <c r="T166" s="72">
        <f t="shared" si="10"/>
        <v>15</v>
      </c>
      <c r="U166" s="72">
        <f t="shared" si="11"/>
        <v>4</v>
      </c>
      <c r="V166" s="86">
        <f t="shared" si="9"/>
        <v>1</v>
      </c>
    </row>
    <row r="167" spans="1:22" s="46" customFormat="1" ht="18" customHeight="1" x14ac:dyDescent="0.25">
      <c r="A167" s="743"/>
      <c r="B167" s="756"/>
      <c r="C167" s="728"/>
      <c r="D167" s="750"/>
      <c r="E167" s="305"/>
      <c r="F167" s="305"/>
      <c r="G167" s="187"/>
      <c r="H167" s="761"/>
      <c r="I167" s="79" t="s">
        <v>367</v>
      </c>
      <c r="J167" s="80">
        <v>100</v>
      </c>
      <c r="K167" s="81"/>
      <c r="L167" s="230"/>
      <c r="M167" s="83" t="s">
        <v>486</v>
      </c>
      <c r="N167" s="80">
        <v>121</v>
      </c>
      <c r="O167" s="79">
        <v>3</v>
      </c>
      <c r="P167" s="80" t="s">
        <v>433</v>
      </c>
      <c r="Q167" s="81"/>
      <c r="R167" s="85" t="s">
        <v>488</v>
      </c>
      <c r="S167" s="72">
        <f t="shared" si="12"/>
        <v>40</v>
      </c>
      <c r="T167" s="72">
        <f t="shared" si="10"/>
        <v>13</v>
      </c>
      <c r="U167" s="72">
        <f t="shared" si="11"/>
        <v>1</v>
      </c>
      <c r="V167" s="86">
        <f t="shared" si="9"/>
        <v>0</v>
      </c>
    </row>
    <row r="168" spans="1:22" s="46" customFormat="1" ht="18" customHeight="1" x14ac:dyDescent="0.25">
      <c r="A168" s="743"/>
      <c r="B168" s="756"/>
      <c r="C168" s="728"/>
      <c r="D168" s="750"/>
      <c r="E168" s="305"/>
      <c r="F168" s="305"/>
      <c r="G168" s="187"/>
      <c r="H168" s="761"/>
      <c r="I168" s="79" t="s">
        <v>350</v>
      </c>
      <c r="J168" s="80">
        <v>160</v>
      </c>
      <c r="K168" s="81"/>
      <c r="L168" s="230"/>
      <c r="M168" s="83" t="s">
        <v>486</v>
      </c>
      <c r="N168" s="80">
        <v>227</v>
      </c>
      <c r="O168" s="79">
        <v>2</v>
      </c>
      <c r="P168" s="80" t="s">
        <v>433</v>
      </c>
      <c r="Q168" s="81"/>
      <c r="R168" s="85" t="s">
        <v>488</v>
      </c>
      <c r="S168" s="72">
        <f t="shared" si="12"/>
        <v>76</v>
      </c>
      <c r="T168" s="72">
        <f t="shared" si="10"/>
        <v>25</v>
      </c>
      <c r="U168" s="72">
        <f t="shared" si="11"/>
        <v>1</v>
      </c>
      <c r="V168" s="86">
        <f t="shared" si="9"/>
        <v>0</v>
      </c>
    </row>
    <row r="169" spans="1:22" s="46" customFormat="1" ht="18" customHeight="1" thickBot="1" x14ac:dyDescent="0.3">
      <c r="A169" s="743"/>
      <c r="B169" s="756"/>
      <c r="C169" s="728"/>
      <c r="D169" s="750"/>
      <c r="E169" s="305"/>
      <c r="F169" s="305"/>
      <c r="G169" s="187"/>
      <c r="H169" s="762"/>
      <c r="I169" s="179" t="s">
        <v>325</v>
      </c>
      <c r="J169" s="180">
        <v>160</v>
      </c>
      <c r="K169" s="181"/>
      <c r="L169" s="238"/>
      <c r="M169" s="215" t="s">
        <v>486</v>
      </c>
      <c r="N169" s="180">
        <v>161</v>
      </c>
      <c r="O169" s="179">
        <v>7</v>
      </c>
      <c r="P169" s="180" t="s">
        <v>433</v>
      </c>
      <c r="Q169" s="181"/>
      <c r="R169" s="184" t="s">
        <v>488</v>
      </c>
      <c r="S169" s="72">
        <f t="shared" si="12"/>
        <v>54</v>
      </c>
      <c r="T169" s="72">
        <f t="shared" si="10"/>
        <v>18</v>
      </c>
      <c r="U169" s="72">
        <f t="shared" si="11"/>
        <v>2</v>
      </c>
      <c r="V169" s="86">
        <f t="shared" si="9"/>
        <v>1</v>
      </c>
    </row>
    <row r="170" spans="1:22" s="46" customFormat="1" ht="18" customHeight="1" x14ac:dyDescent="0.25">
      <c r="A170" s="743"/>
      <c r="B170" s="756"/>
      <c r="C170" s="728"/>
      <c r="D170" s="750"/>
      <c r="E170" s="305"/>
      <c r="F170" s="305"/>
      <c r="G170" s="187"/>
      <c r="H170" s="760" t="s">
        <v>650</v>
      </c>
      <c r="I170" s="67" t="s">
        <v>435</v>
      </c>
      <c r="J170" s="68">
        <v>160</v>
      </c>
      <c r="K170" s="67">
        <v>160</v>
      </c>
      <c r="L170" s="243"/>
      <c r="M170" s="70" t="s">
        <v>486</v>
      </c>
      <c r="N170" s="68">
        <v>86</v>
      </c>
      <c r="O170" s="67">
        <v>5</v>
      </c>
      <c r="P170" s="68" t="s">
        <v>433</v>
      </c>
      <c r="Q170" s="67" t="s">
        <v>530</v>
      </c>
      <c r="R170" s="71" t="s">
        <v>488</v>
      </c>
      <c r="S170" s="72">
        <f t="shared" si="12"/>
        <v>29</v>
      </c>
      <c r="T170" s="72">
        <f t="shared" si="10"/>
        <v>10</v>
      </c>
      <c r="U170" s="72">
        <f t="shared" si="11"/>
        <v>2</v>
      </c>
      <c r="V170" s="86">
        <f t="shared" si="9"/>
        <v>1</v>
      </c>
    </row>
    <row r="171" spans="1:22" s="46" customFormat="1" ht="18" customHeight="1" x14ac:dyDescent="0.25">
      <c r="A171" s="743"/>
      <c r="B171" s="756"/>
      <c r="C171" s="728"/>
      <c r="D171" s="750"/>
      <c r="E171" s="305"/>
      <c r="F171" s="305"/>
      <c r="G171" s="187"/>
      <c r="H171" s="761"/>
      <c r="I171" s="79" t="s">
        <v>430</v>
      </c>
      <c r="J171" s="80">
        <v>100</v>
      </c>
      <c r="K171" s="81"/>
      <c r="L171" s="230"/>
      <c r="M171" s="83" t="s">
        <v>486</v>
      </c>
      <c r="N171" s="80">
        <v>124</v>
      </c>
      <c r="O171" s="79">
        <v>2</v>
      </c>
      <c r="P171" s="80" t="s">
        <v>433</v>
      </c>
      <c r="Q171" s="81"/>
      <c r="R171" s="85" t="s">
        <v>488</v>
      </c>
      <c r="S171" s="72">
        <f t="shared" si="12"/>
        <v>41</v>
      </c>
      <c r="T171" s="72">
        <f t="shared" si="10"/>
        <v>14</v>
      </c>
      <c r="U171" s="72">
        <f t="shared" si="11"/>
        <v>1</v>
      </c>
      <c r="V171" s="86">
        <f t="shared" si="9"/>
        <v>0</v>
      </c>
    </row>
    <row r="172" spans="1:22" s="46" customFormat="1" ht="18" customHeight="1" x14ac:dyDescent="0.25">
      <c r="A172" s="743"/>
      <c r="B172" s="756"/>
      <c r="C172" s="728"/>
      <c r="D172" s="750"/>
      <c r="E172" s="308"/>
      <c r="F172" s="308"/>
      <c r="G172" s="309"/>
      <c r="H172" s="761"/>
      <c r="I172" s="208" t="s">
        <v>326</v>
      </c>
      <c r="J172" s="209">
        <v>100</v>
      </c>
      <c r="K172" s="210"/>
      <c r="L172" s="234"/>
      <c r="M172" s="212" t="s">
        <v>486</v>
      </c>
      <c r="N172" s="209">
        <v>110</v>
      </c>
      <c r="O172" s="208">
        <v>3</v>
      </c>
      <c r="P172" s="209" t="s">
        <v>433</v>
      </c>
      <c r="Q172" s="210"/>
      <c r="R172" s="213" t="s">
        <v>488</v>
      </c>
      <c r="S172" s="72">
        <f t="shared" si="12"/>
        <v>37</v>
      </c>
      <c r="T172" s="72">
        <f t="shared" si="10"/>
        <v>12</v>
      </c>
      <c r="U172" s="72">
        <f t="shared" si="11"/>
        <v>1</v>
      </c>
      <c r="V172" s="86">
        <f t="shared" si="9"/>
        <v>0</v>
      </c>
    </row>
    <row r="173" spans="1:22" s="46" customFormat="1" ht="18" customHeight="1" thickBot="1" x14ac:dyDescent="0.3">
      <c r="A173" s="743"/>
      <c r="B173" s="756"/>
      <c r="C173" s="728"/>
      <c r="D173" s="750"/>
      <c r="E173" s="98"/>
      <c r="F173" s="98"/>
      <c r="G173" s="309"/>
      <c r="H173" s="761"/>
      <c r="I173" s="155" t="s">
        <v>441</v>
      </c>
      <c r="J173" s="156"/>
      <c r="K173" s="157"/>
      <c r="L173" s="310"/>
      <c r="M173" s="311" t="s">
        <v>486</v>
      </c>
      <c r="N173" s="156">
        <v>0</v>
      </c>
      <c r="O173" s="155">
        <v>1</v>
      </c>
      <c r="P173" s="156" t="s">
        <v>433</v>
      </c>
      <c r="Q173" s="157"/>
      <c r="R173" s="161"/>
      <c r="S173" s="72">
        <f t="shared" si="12"/>
        <v>0</v>
      </c>
      <c r="T173" s="72">
        <f t="shared" si="10"/>
        <v>0</v>
      </c>
      <c r="U173" s="131">
        <v>1</v>
      </c>
      <c r="V173" s="132">
        <v>1</v>
      </c>
    </row>
    <row r="174" spans="1:22" s="46" customFormat="1" ht="18" customHeight="1" thickBot="1" x14ac:dyDescent="0.3">
      <c r="A174" s="743"/>
      <c r="B174" s="756"/>
      <c r="C174" s="728"/>
      <c r="D174" s="750"/>
      <c r="E174" s="736" t="s">
        <v>651</v>
      </c>
      <c r="F174" s="64"/>
      <c r="G174" s="298"/>
      <c r="H174" s="306"/>
      <c r="I174" s="262" t="s">
        <v>652</v>
      </c>
      <c r="J174" s="263">
        <v>63</v>
      </c>
      <c r="K174" s="264"/>
      <c r="L174" s="265"/>
      <c r="M174" s="266" t="s">
        <v>486</v>
      </c>
      <c r="N174" s="263">
        <v>0</v>
      </c>
      <c r="O174" s="262">
        <v>1</v>
      </c>
      <c r="P174" s="263" t="s">
        <v>433</v>
      </c>
      <c r="Q174" s="262" t="s">
        <v>653</v>
      </c>
      <c r="R174" s="269" t="s">
        <v>654</v>
      </c>
      <c r="S174" s="72">
        <f t="shared" si="12"/>
        <v>0</v>
      </c>
      <c r="T174" s="72">
        <f t="shared" si="10"/>
        <v>0</v>
      </c>
      <c r="U174" s="244">
        <v>1</v>
      </c>
      <c r="V174" s="188">
        <v>1</v>
      </c>
    </row>
    <row r="175" spans="1:22" s="46" customFormat="1" ht="18" customHeight="1" x14ac:dyDescent="0.25">
      <c r="A175" s="743"/>
      <c r="B175" s="756"/>
      <c r="C175" s="728"/>
      <c r="D175" s="750"/>
      <c r="E175" s="737"/>
      <c r="F175" s="146"/>
      <c r="G175" s="312"/>
      <c r="H175" s="313"/>
      <c r="I175" s="262" t="s">
        <v>655</v>
      </c>
      <c r="J175" s="263">
        <v>63</v>
      </c>
      <c r="K175" s="221"/>
      <c r="L175" s="222"/>
      <c r="M175" s="266" t="s">
        <v>486</v>
      </c>
      <c r="N175" s="263">
        <v>0</v>
      </c>
      <c r="O175" s="262">
        <v>1</v>
      </c>
      <c r="P175" s="263" t="s">
        <v>433</v>
      </c>
      <c r="Q175" s="219"/>
      <c r="R175" s="226" t="s">
        <v>656</v>
      </c>
      <c r="S175" s="72">
        <f t="shared" si="12"/>
        <v>0</v>
      </c>
      <c r="T175" s="72">
        <f t="shared" si="10"/>
        <v>0</v>
      </c>
      <c r="U175" s="244">
        <v>1</v>
      </c>
      <c r="V175" s="188">
        <v>1</v>
      </c>
    </row>
    <row r="176" spans="1:22" s="46" customFormat="1" ht="18" customHeight="1" x14ac:dyDescent="0.25">
      <c r="A176" s="743"/>
      <c r="B176" s="756"/>
      <c r="C176" s="728"/>
      <c r="D176" s="750"/>
      <c r="E176" s="737"/>
      <c r="F176" s="76"/>
      <c r="G176" s="187"/>
      <c r="H176" s="302"/>
      <c r="I176" s="88" t="s">
        <v>328</v>
      </c>
      <c r="J176" s="89">
        <v>180</v>
      </c>
      <c r="K176" s="90"/>
      <c r="L176" s="229"/>
      <c r="M176" s="92" t="s">
        <v>486</v>
      </c>
      <c r="N176" s="89">
        <v>11</v>
      </c>
      <c r="O176" s="88">
        <v>2</v>
      </c>
      <c r="P176" s="89" t="s">
        <v>433</v>
      </c>
      <c r="Q176" s="90"/>
      <c r="R176" s="95" t="s">
        <v>329</v>
      </c>
      <c r="S176" s="72">
        <f t="shared" si="12"/>
        <v>4</v>
      </c>
      <c r="T176" s="72">
        <f t="shared" si="10"/>
        <v>1</v>
      </c>
      <c r="U176" s="72">
        <f t="shared" si="11"/>
        <v>1</v>
      </c>
      <c r="V176" s="86">
        <f t="shared" si="9"/>
        <v>0</v>
      </c>
    </row>
    <row r="177" spans="1:22" s="46" customFormat="1" ht="18" customHeight="1" x14ac:dyDescent="0.25">
      <c r="A177" s="743"/>
      <c r="B177" s="756"/>
      <c r="C177" s="728"/>
      <c r="D177" s="750"/>
      <c r="E177" s="737"/>
      <c r="F177" s="76"/>
      <c r="G177" s="187"/>
      <c r="H177" s="302"/>
      <c r="I177" s="79" t="s">
        <v>351</v>
      </c>
      <c r="J177" s="80">
        <v>100</v>
      </c>
      <c r="K177" s="81"/>
      <c r="L177" s="230"/>
      <c r="M177" s="83" t="s">
        <v>486</v>
      </c>
      <c r="N177" s="80">
        <v>131</v>
      </c>
      <c r="O177" s="79">
        <v>6</v>
      </c>
      <c r="P177" s="80" t="s">
        <v>657</v>
      </c>
      <c r="Q177" s="81"/>
      <c r="R177" s="85" t="s">
        <v>488</v>
      </c>
      <c r="S177" s="72">
        <f t="shared" si="12"/>
        <v>44</v>
      </c>
      <c r="T177" s="72">
        <f t="shared" si="10"/>
        <v>15</v>
      </c>
      <c r="U177" s="72">
        <f t="shared" si="11"/>
        <v>2</v>
      </c>
      <c r="V177" s="86">
        <f t="shared" si="9"/>
        <v>1</v>
      </c>
    </row>
    <row r="178" spans="1:22" s="46" customFormat="1" ht="18" customHeight="1" thickBot="1" x14ac:dyDescent="0.3">
      <c r="A178" s="743"/>
      <c r="B178" s="756"/>
      <c r="C178" s="728"/>
      <c r="D178" s="750"/>
      <c r="E178" s="737"/>
      <c r="F178" s="98"/>
      <c r="G178" s="309"/>
      <c r="H178" s="307"/>
      <c r="I178" s="208" t="s">
        <v>368</v>
      </c>
      <c r="J178" s="209">
        <v>400</v>
      </c>
      <c r="K178" s="208">
        <v>400</v>
      </c>
      <c r="L178" s="234"/>
      <c r="M178" s="212" t="s">
        <v>486</v>
      </c>
      <c r="N178" s="209">
        <v>16</v>
      </c>
      <c r="O178" s="208">
        <v>4</v>
      </c>
      <c r="P178" s="209" t="s">
        <v>433</v>
      </c>
      <c r="Q178" s="210"/>
      <c r="R178" s="213" t="s">
        <v>488</v>
      </c>
      <c r="S178" s="72">
        <f t="shared" si="12"/>
        <v>5</v>
      </c>
      <c r="T178" s="72">
        <f t="shared" si="10"/>
        <v>2</v>
      </c>
      <c r="U178" s="72">
        <f t="shared" si="11"/>
        <v>1</v>
      </c>
      <c r="V178" s="86">
        <f t="shared" si="9"/>
        <v>0</v>
      </c>
    </row>
    <row r="179" spans="1:22" s="46" customFormat="1" ht="18" customHeight="1" x14ac:dyDescent="0.25">
      <c r="A179" s="743"/>
      <c r="B179" s="756"/>
      <c r="C179" s="728"/>
      <c r="D179" s="750"/>
      <c r="E179" s="737"/>
      <c r="F179" s="751" t="s">
        <v>658</v>
      </c>
      <c r="G179" s="298"/>
      <c r="H179" s="306"/>
      <c r="I179" s="262" t="s">
        <v>659</v>
      </c>
      <c r="J179" s="263">
        <v>180</v>
      </c>
      <c r="K179" s="264"/>
      <c r="L179" s="265"/>
      <c r="M179" s="266" t="s">
        <v>486</v>
      </c>
      <c r="N179" s="263">
        <v>0</v>
      </c>
      <c r="O179" s="262">
        <v>1</v>
      </c>
      <c r="P179" s="263" t="s">
        <v>657</v>
      </c>
      <c r="Q179" s="262" t="s">
        <v>639</v>
      </c>
      <c r="R179" s="269" t="s">
        <v>565</v>
      </c>
      <c r="S179" s="72">
        <f t="shared" si="12"/>
        <v>0</v>
      </c>
      <c r="T179" s="72">
        <f t="shared" si="10"/>
        <v>0</v>
      </c>
      <c r="U179" s="244">
        <v>1</v>
      </c>
      <c r="V179" s="188">
        <v>1</v>
      </c>
    </row>
    <row r="180" spans="1:22" s="46" customFormat="1" ht="18" customHeight="1" x14ac:dyDescent="0.25">
      <c r="A180" s="743"/>
      <c r="B180" s="756"/>
      <c r="C180" s="728"/>
      <c r="D180" s="750"/>
      <c r="E180" s="737"/>
      <c r="F180" s="752"/>
      <c r="G180" s="314"/>
      <c r="H180" s="315"/>
      <c r="I180" s="208" t="s">
        <v>300</v>
      </c>
      <c r="J180" s="209">
        <v>60</v>
      </c>
      <c r="K180" s="210"/>
      <c r="L180" s="234"/>
      <c r="M180" s="212" t="s">
        <v>486</v>
      </c>
      <c r="N180" s="209">
        <v>0</v>
      </c>
      <c r="O180" s="208">
        <v>1</v>
      </c>
      <c r="P180" s="209" t="s">
        <v>657</v>
      </c>
      <c r="Q180" s="208" t="s">
        <v>567</v>
      </c>
      <c r="R180" s="213" t="s">
        <v>488</v>
      </c>
      <c r="S180" s="72">
        <f t="shared" si="12"/>
        <v>0</v>
      </c>
      <c r="T180" s="72">
        <f t="shared" si="10"/>
        <v>0</v>
      </c>
      <c r="U180" s="189">
        <v>1</v>
      </c>
      <c r="V180" s="297">
        <v>1</v>
      </c>
    </row>
    <row r="181" spans="1:22" s="46" customFormat="1" ht="18" customHeight="1" thickBot="1" x14ac:dyDescent="0.3">
      <c r="A181" s="743"/>
      <c r="B181" s="756"/>
      <c r="C181" s="728"/>
      <c r="D181" s="750"/>
      <c r="E181" s="737"/>
      <c r="F181" s="752"/>
      <c r="G181" s="309"/>
      <c r="H181" s="307"/>
      <c r="I181" s="198" t="s">
        <v>660</v>
      </c>
      <c r="J181" s="193"/>
      <c r="K181" s="194"/>
      <c r="L181" s="303"/>
      <c r="M181" s="196" t="s">
        <v>486</v>
      </c>
      <c r="N181" s="193">
        <v>0</v>
      </c>
      <c r="O181" s="192">
        <v>1</v>
      </c>
      <c r="P181" s="193" t="s">
        <v>657</v>
      </c>
      <c r="Q181" s="192"/>
      <c r="R181" s="198" t="s">
        <v>661</v>
      </c>
      <c r="S181" s="72">
        <f t="shared" si="12"/>
        <v>0</v>
      </c>
      <c r="T181" s="72">
        <f t="shared" si="10"/>
        <v>0</v>
      </c>
      <c r="U181" s="244">
        <v>1</v>
      </c>
      <c r="V181" s="188">
        <v>1</v>
      </c>
    </row>
    <row r="182" spans="1:22" s="46" customFormat="1" ht="18" customHeight="1" x14ac:dyDescent="0.25">
      <c r="A182" s="743"/>
      <c r="B182" s="756"/>
      <c r="C182" s="728"/>
      <c r="D182" s="750"/>
      <c r="E182" s="737"/>
      <c r="F182" s="752"/>
      <c r="G182" s="760" t="s">
        <v>662</v>
      </c>
      <c r="H182" s="306"/>
      <c r="I182" s="67" t="s">
        <v>663</v>
      </c>
      <c r="J182" s="68">
        <v>60</v>
      </c>
      <c r="K182" s="178"/>
      <c r="L182" s="243"/>
      <c r="M182" s="70" t="s">
        <v>486</v>
      </c>
      <c r="N182" s="68">
        <v>21</v>
      </c>
      <c r="O182" s="67">
        <v>2</v>
      </c>
      <c r="P182" s="68" t="s">
        <v>422</v>
      </c>
      <c r="Q182" s="178"/>
      <c r="R182" s="71" t="s">
        <v>488</v>
      </c>
      <c r="S182" s="72">
        <f t="shared" si="12"/>
        <v>7</v>
      </c>
      <c r="T182" s="72">
        <f t="shared" si="10"/>
        <v>2</v>
      </c>
      <c r="U182" s="72">
        <f t="shared" si="11"/>
        <v>1</v>
      </c>
      <c r="V182" s="86">
        <f t="shared" si="9"/>
        <v>0</v>
      </c>
    </row>
    <row r="183" spans="1:22" s="46" customFormat="1" ht="18" customHeight="1" x14ac:dyDescent="0.25">
      <c r="A183" s="743"/>
      <c r="B183" s="756"/>
      <c r="C183" s="728"/>
      <c r="D183" s="750"/>
      <c r="E183" s="737"/>
      <c r="F183" s="752"/>
      <c r="G183" s="761"/>
      <c r="H183" s="302"/>
      <c r="I183" s="79" t="s">
        <v>397</v>
      </c>
      <c r="J183" s="80">
        <v>63</v>
      </c>
      <c r="K183" s="81"/>
      <c r="L183" s="230"/>
      <c r="M183" s="83" t="s">
        <v>486</v>
      </c>
      <c r="N183" s="80">
        <v>0</v>
      </c>
      <c r="O183" s="79">
        <v>1</v>
      </c>
      <c r="P183" s="80" t="s">
        <v>422</v>
      </c>
      <c r="Q183" s="79" t="s">
        <v>553</v>
      </c>
      <c r="R183" s="85" t="s">
        <v>488</v>
      </c>
      <c r="S183" s="72">
        <f t="shared" si="12"/>
        <v>0</v>
      </c>
      <c r="T183" s="72">
        <f t="shared" si="10"/>
        <v>0</v>
      </c>
      <c r="U183" s="189">
        <v>1</v>
      </c>
      <c r="V183" s="297">
        <v>1</v>
      </c>
    </row>
    <row r="184" spans="1:22" s="46" customFormat="1" ht="18" customHeight="1" thickBot="1" x14ac:dyDescent="0.3">
      <c r="A184" s="743"/>
      <c r="B184" s="756"/>
      <c r="C184" s="728"/>
      <c r="D184" s="750"/>
      <c r="E184" s="737"/>
      <c r="F184" s="752"/>
      <c r="G184" s="761"/>
      <c r="H184" s="316" t="s">
        <v>628</v>
      </c>
      <c r="I184" s="317" t="s">
        <v>421</v>
      </c>
      <c r="J184" s="193">
        <v>1.25</v>
      </c>
      <c r="K184" s="318"/>
      <c r="L184" s="303"/>
      <c r="M184" s="196" t="s">
        <v>486</v>
      </c>
      <c r="N184" s="239"/>
      <c r="O184" s="319"/>
      <c r="P184" s="193" t="s">
        <v>422</v>
      </c>
      <c r="Q184" s="192" t="s">
        <v>664</v>
      </c>
      <c r="R184" s="198" t="s">
        <v>665</v>
      </c>
      <c r="S184" s="72">
        <f t="shared" si="12"/>
        <v>0</v>
      </c>
      <c r="T184" s="72">
        <f t="shared" si="10"/>
        <v>0</v>
      </c>
      <c r="U184" s="96">
        <v>0</v>
      </c>
      <c r="V184" s="97">
        <v>0</v>
      </c>
    </row>
    <row r="185" spans="1:22" s="46" customFormat="1" ht="18" customHeight="1" x14ac:dyDescent="0.25">
      <c r="A185" s="743"/>
      <c r="B185" s="756"/>
      <c r="C185" s="728"/>
      <c r="D185" s="750"/>
      <c r="E185" s="737"/>
      <c r="F185" s="752"/>
      <c r="G185" s="761"/>
      <c r="H185" s="302"/>
      <c r="I185" s="79" t="s">
        <v>410</v>
      </c>
      <c r="J185" s="80">
        <v>160</v>
      </c>
      <c r="K185" s="81"/>
      <c r="L185" s="230"/>
      <c r="M185" s="83" t="s">
        <v>486</v>
      </c>
      <c r="N185" s="80">
        <v>24</v>
      </c>
      <c r="O185" s="79">
        <v>9</v>
      </c>
      <c r="P185" s="80" t="s">
        <v>422</v>
      </c>
      <c r="Q185" s="79" t="s">
        <v>530</v>
      </c>
      <c r="R185" s="85" t="s">
        <v>488</v>
      </c>
      <c r="S185" s="72">
        <f t="shared" si="12"/>
        <v>8</v>
      </c>
      <c r="T185" s="72">
        <f t="shared" si="10"/>
        <v>3</v>
      </c>
      <c r="U185" s="72">
        <f t="shared" si="11"/>
        <v>3</v>
      </c>
      <c r="V185" s="86">
        <f t="shared" si="9"/>
        <v>1</v>
      </c>
    </row>
    <row r="186" spans="1:22" s="46" customFormat="1" ht="18" customHeight="1" x14ac:dyDescent="0.25">
      <c r="A186" s="743"/>
      <c r="B186" s="756"/>
      <c r="C186" s="728"/>
      <c r="D186" s="750"/>
      <c r="E186" s="737"/>
      <c r="F186" s="752"/>
      <c r="G186" s="761"/>
      <c r="H186" s="302"/>
      <c r="I186" s="79" t="s">
        <v>372</v>
      </c>
      <c r="J186" s="80">
        <v>40</v>
      </c>
      <c r="K186" s="81"/>
      <c r="L186" s="230"/>
      <c r="M186" s="83" t="s">
        <v>486</v>
      </c>
      <c r="N186" s="80">
        <v>8</v>
      </c>
      <c r="O186" s="79">
        <v>0</v>
      </c>
      <c r="P186" s="80" t="s">
        <v>666</v>
      </c>
      <c r="Q186" s="81"/>
      <c r="R186" s="85" t="s">
        <v>488</v>
      </c>
      <c r="S186" s="72">
        <f t="shared" si="12"/>
        <v>3</v>
      </c>
      <c r="T186" s="72">
        <f t="shared" si="10"/>
        <v>1</v>
      </c>
      <c r="U186" s="72">
        <f t="shared" si="11"/>
        <v>0</v>
      </c>
      <c r="V186" s="86">
        <f t="shared" si="9"/>
        <v>0</v>
      </c>
    </row>
    <row r="187" spans="1:22" s="46" customFormat="1" ht="18" customHeight="1" thickBot="1" x14ac:dyDescent="0.3">
      <c r="A187" s="743"/>
      <c r="B187" s="756"/>
      <c r="C187" s="728"/>
      <c r="D187" s="750"/>
      <c r="E187" s="737"/>
      <c r="F187" s="752"/>
      <c r="G187" s="761"/>
      <c r="H187" s="307"/>
      <c r="I187" s="208" t="s">
        <v>373</v>
      </c>
      <c r="J187" s="209">
        <v>63</v>
      </c>
      <c r="K187" s="210"/>
      <c r="L187" s="234"/>
      <c r="M187" s="320" t="s">
        <v>486</v>
      </c>
      <c r="N187" s="209">
        <v>30</v>
      </c>
      <c r="O187" s="208">
        <v>0</v>
      </c>
      <c r="P187" s="209" t="s">
        <v>666</v>
      </c>
      <c r="Q187" s="241"/>
      <c r="R187" s="213" t="s">
        <v>488</v>
      </c>
      <c r="S187" s="72">
        <f t="shared" si="12"/>
        <v>10</v>
      </c>
      <c r="T187" s="72">
        <f t="shared" si="10"/>
        <v>3</v>
      </c>
      <c r="U187" s="72">
        <f t="shared" si="11"/>
        <v>0</v>
      </c>
      <c r="V187" s="86">
        <f t="shared" si="9"/>
        <v>0</v>
      </c>
    </row>
    <row r="188" spans="1:22" s="46" customFormat="1" ht="18" customHeight="1" x14ac:dyDescent="0.25">
      <c r="A188" s="743"/>
      <c r="B188" s="756"/>
      <c r="C188" s="728"/>
      <c r="D188" s="750"/>
      <c r="E188" s="737"/>
      <c r="F188" s="752"/>
      <c r="G188" s="761"/>
      <c r="H188" s="760" t="s">
        <v>667</v>
      </c>
      <c r="I188" s="67" t="s">
        <v>318</v>
      </c>
      <c r="J188" s="68">
        <v>250</v>
      </c>
      <c r="K188" s="178"/>
      <c r="L188" s="243"/>
      <c r="M188" s="70" t="s">
        <v>486</v>
      </c>
      <c r="N188" s="68">
        <v>133</v>
      </c>
      <c r="O188" s="67">
        <v>6</v>
      </c>
      <c r="P188" s="68" t="s">
        <v>422</v>
      </c>
      <c r="Q188" s="178"/>
      <c r="R188" s="71" t="s">
        <v>488</v>
      </c>
      <c r="S188" s="72">
        <f t="shared" si="12"/>
        <v>44</v>
      </c>
      <c r="T188" s="72">
        <f t="shared" si="10"/>
        <v>15</v>
      </c>
      <c r="U188" s="72">
        <f t="shared" si="11"/>
        <v>2</v>
      </c>
      <c r="V188" s="86">
        <f t="shared" si="9"/>
        <v>1</v>
      </c>
    </row>
    <row r="189" spans="1:22" s="46" customFormat="1" ht="18" customHeight="1" x14ac:dyDescent="0.25">
      <c r="A189" s="743"/>
      <c r="B189" s="756"/>
      <c r="C189" s="728"/>
      <c r="D189" s="750"/>
      <c r="E189" s="737"/>
      <c r="F189" s="752"/>
      <c r="G189" s="761"/>
      <c r="H189" s="761"/>
      <c r="I189" s="79" t="s">
        <v>319</v>
      </c>
      <c r="J189" s="80">
        <v>100</v>
      </c>
      <c r="K189" s="81"/>
      <c r="L189" s="230"/>
      <c r="M189" s="83" t="s">
        <v>486</v>
      </c>
      <c r="N189" s="80">
        <v>49</v>
      </c>
      <c r="O189" s="79">
        <v>1</v>
      </c>
      <c r="P189" s="80" t="s">
        <v>422</v>
      </c>
      <c r="Q189" s="81"/>
      <c r="R189" s="85" t="s">
        <v>488</v>
      </c>
      <c r="S189" s="72">
        <f t="shared" si="12"/>
        <v>16</v>
      </c>
      <c r="T189" s="72">
        <f t="shared" si="10"/>
        <v>5</v>
      </c>
      <c r="U189" s="72">
        <f t="shared" si="11"/>
        <v>0</v>
      </c>
      <c r="V189" s="86">
        <f t="shared" si="9"/>
        <v>0</v>
      </c>
    </row>
    <row r="190" spans="1:22" s="46" customFormat="1" ht="18" customHeight="1" x14ac:dyDescent="0.25">
      <c r="A190" s="743"/>
      <c r="B190" s="756"/>
      <c r="C190" s="728"/>
      <c r="D190" s="750"/>
      <c r="E190" s="737"/>
      <c r="F190" s="752"/>
      <c r="G190" s="761"/>
      <c r="H190" s="761"/>
      <c r="I190" s="79" t="s">
        <v>384</v>
      </c>
      <c r="J190" s="80">
        <v>400</v>
      </c>
      <c r="K190" s="79">
        <v>100</v>
      </c>
      <c r="L190" s="230"/>
      <c r="M190" s="83" t="s">
        <v>486</v>
      </c>
      <c r="N190" s="80">
        <v>0</v>
      </c>
      <c r="O190" s="79">
        <v>1</v>
      </c>
      <c r="P190" s="80" t="s">
        <v>422</v>
      </c>
      <c r="Q190" s="79" t="s">
        <v>542</v>
      </c>
      <c r="R190" s="85" t="s">
        <v>488</v>
      </c>
      <c r="S190" s="72">
        <f t="shared" si="12"/>
        <v>0</v>
      </c>
      <c r="T190" s="72">
        <f t="shared" si="10"/>
        <v>0</v>
      </c>
      <c r="U190" s="189">
        <v>1</v>
      </c>
      <c r="V190" s="297">
        <v>1</v>
      </c>
    </row>
    <row r="191" spans="1:22" s="46" customFormat="1" ht="18" customHeight="1" thickBot="1" x14ac:dyDescent="0.3">
      <c r="A191" s="743"/>
      <c r="B191" s="756"/>
      <c r="C191" s="728"/>
      <c r="D191" s="750"/>
      <c r="E191" s="738"/>
      <c r="F191" s="753"/>
      <c r="G191" s="762"/>
      <c r="H191" s="762"/>
      <c r="I191" s="179" t="s">
        <v>396</v>
      </c>
      <c r="J191" s="180">
        <v>100</v>
      </c>
      <c r="K191" s="181"/>
      <c r="L191" s="238"/>
      <c r="M191" s="215" t="s">
        <v>486</v>
      </c>
      <c r="N191" s="180">
        <v>142</v>
      </c>
      <c r="O191" s="179">
        <v>1</v>
      </c>
      <c r="P191" s="180" t="s">
        <v>422</v>
      </c>
      <c r="Q191" s="181"/>
      <c r="R191" s="184" t="s">
        <v>488</v>
      </c>
      <c r="S191" s="72">
        <f t="shared" si="12"/>
        <v>47</v>
      </c>
      <c r="T191" s="72">
        <f t="shared" si="10"/>
        <v>16</v>
      </c>
      <c r="U191" s="72">
        <f t="shared" si="11"/>
        <v>0</v>
      </c>
      <c r="V191" s="86">
        <f t="shared" si="9"/>
        <v>0</v>
      </c>
    </row>
    <row r="192" spans="1:22" s="46" customFormat="1" ht="18" customHeight="1" x14ac:dyDescent="0.25">
      <c r="A192" s="743"/>
      <c r="B192" s="756"/>
      <c r="C192" s="726" t="s">
        <v>668</v>
      </c>
      <c r="D192" s="730"/>
      <c r="E192" s="321"/>
      <c r="F192" s="146"/>
      <c r="G192" s="312"/>
      <c r="H192" s="313"/>
      <c r="I192" s="149" t="s">
        <v>406</v>
      </c>
      <c r="J192" s="150">
        <v>400</v>
      </c>
      <c r="K192" s="149">
        <v>250</v>
      </c>
      <c r="L192" s="292"/>
      <c r="M192" s="83" t="s">
        <v>486</v>
      </c>
      <c r="N192" s="150">
        <v>0</v>
      </c>
      <c r="O192" s="149">
        <v>5</v>
      </c>
      <c r="P192" s="150" t="s">
        <v>433</v>
      </c>
      <c r="Q192" s="151"/>
      <c r="R192" s="322" t="s">
        <v>488</v>
      </c>
      <c r="S192" s="72">
        <f t="shared" si="12"/>
        <v>0</v>
      </c>
      <c r="T192" s="72">
        <f t="shared" si="10"/>
        <v>0</v>
      </c>
      <c r="U192" s="189">
        <v>5</v>
      </c>
      <c r="V192" s="297">
        <v>5</v>
      </c>
    </row>
    <row r="193" spans="1:22" s="46" customFormat="1" ht="18" customHeight="1" x14ac:dyDescent="0.25">
      <c r="A193" s="743"/>
      <c r="B193" s="756"/>
      <c r="C193" s="726"/>
      <c r="D193" s="731"/>
      <c r="E193" s="323"/>
      <c r="F193" s="76"/>
      <c r="G193" s="187"/>
      <c r="H193" s="302"/>
      <c r="I193" s="149" t="s">
        <v>344</v>
      </c>
      <c r="J193" s="150">
        <v>160</v>
      </c>
      <c r="K193" s="151"/>
      <c r="L193" s="292"/>
      <c r="M193" s="83" t="s">
        <v>486</v>
      </c>
      <c r="N193" s="150">
        <v>183</v>
      </c>
      <c r="O193" s="149">
        <v>6</v>
      </c>
      <c r="P193" s="150" t="s">
        <v>433</v>
      </c>
      <c r="Q193" s="241"/>
      <c r="R193" s="85" t="s">
        <v>488</v>
      </c>
      <c r="S193" s="72">
        <f t="shared" si="12"/>
        <v>61</v>
      </c>
      <c r="T193" s="72">
        <f t="shared" si="10"/>
        <v>20</v>
      </c>
      <c r="U193" s="72">
        <f t="shared" si="11"/>
        <v>2</v>
      </c>
      <c r="V193" s="86">
        <f t="shared" si="9"/>
        <v>1</v>
      </c>
    </row>
    <row r="194" spans="1:22" s="46" customFormat="1" ht="18" customHeight="1" x14ac:dyDescent="0.25">
      <c r="A194" s="743"/>
      <c r="B194" s="756"/>
      <c r="C194" s="727"/>
      <c r="D194" s="731"/>
      <c r="E194" s="323"/>
      <c r="F194" s="76"/>
      <c r="G194" s="187"/>
      <c r="H194" s="302"/>
      <c r="I194" s="79" t="s">
        <v>434</v>
      </c>
      <c r="J194" s="80">
        <v>250</v>
      </c>
      <c r="K194" s="79">
        <v>250</v>
      </c>
      <c r="L194" s="230"/>
      <c r="M194" s="83" t="s">
        <v>486</v>
      </c>
      <c r="N194" s="80">
        <v>126</v>
      </c>
      <c r="O194" s="79">
        <v>19</v>
      </c>
      <c r="P194" s="80" t="s">
        <v>433</v>
      </c>
      <c r="Q194" s="79" t="s">
        <v>669</v>
      </c>
      <c r="R194" s="85" t="s">
        <v>488</v>
      </c>
      <c r="S194" s="72">
        <f t="shared" si="12"/>
        <v>42</v>
      </c>
      <c r="T194" s="72">
        <f t="shared" si="10"/>
        <v>14</v>
      </c>
      <c r="U194" s="72">
        <f t="shared" si="11"/>
        <v>6</v>
      </c>
      <c r="V194" s="86">
        <f t="shared" si="9"/>
        <v>2</v>
      </c>
    </row>
    <row r="195" spans="1:22" s="46" customFormat="1" ht="18" customHeight="1" x14ac:dyDescent="0.25">
      <c r="A195" s="743"/>
      <c r="B195" s="756"/>
      <c r="C195" s="727"/>
      <c r="D195" s="731"/>
      <c r="E195" s="323"/>
      <c r="F195" s="76"/>
      <c r="G195" s="187"/>
      <c r="H195" s="302"/>
      <c r="I195" s="88" t="s">
        <v>670</v>
      </c>
      <c r="J195" s="89">
        <v>160</v>
      </c>
      <c r="K195" s="90"/>
      <c r="L195" s="229"/>
      <c r="M195" s="92" t="s">
        <v>486</v>
      </c>
      <c r="N195" s="89">
        <v>0</v>
      </c>
      <c r="O195" s="88">
        <v>1</v>
      </c>
      <c r="P195" s="89" t="s">
        <v>433</v>
      </c>
      <c r="Q195" s="90"/>
      <c r="R195" s="95" t="s">
        <v>671</v>
      </c>
      <c r="S195" s="72">
        <f t="shared" si="12"/>
        <v>0</v>
      </c>
      <c r="T195" s="72">
        <f t="shared" si="10"/>
        <v>0</v>
      </c>
      <c r="U195" s="244">
        <v>1</v>
      </c>
      <c r="V195" s="188">
        <v>1</v>
      </c>
    </row>
    <row r="196" spans="1:22" s="46" customFormat="1" ht="18" customHeight="1" x14ac:dyDescent="0.25">
      <c r="A196" s="743"/>
      <c r="B196" s="756"/>
      <c r="C196" s="727"/>
      <c r="D196" s="731"/>
      <c r="E196" s="323"/>
      <c r="F196" s="76"/>
      <c r="G196" s="187"/>
      <c r="H196" s="302"/>
      <c r="I196" s="88" t="s">
        <v>672</v>
      </c>
      <c r="J196" s="89">
        <v>25</v>
      </c>
      <c r="K196" s="90"/>
      <c r="L196" s="229"/>
      <c r="M196" s="92" t="s">
        <v>486</v>
      </c>
      <c r="N196" s="89">
        <v>0</v>
      </c>
      <c r="O196" s="88">
        <v>1</v>
      </c>
      <c r="P196" s="89" t="s">
        <v>433</v>
      </c>
      <c r="Q196" s="88" t="s">
        <v>673</v>
      </c>
      <c r="R196" s="95" t="s">
        <v>674</v>
      </c>
      <c r="S196" s="72">
        <f t="shared" si="12"/>
        <v>0</v>
      </c>
      <c r="T196" s="72">
        <f t="shared" si="10"/>
        <v>0</v>
      </c>
      <c r="U196" s="244">
        <v>1</v>
      </c>
      <c r="V196" s="188">
        <v>1</v>
      </c>
    </row>
    <row r="197" spans="1:22" s="46" customFormat="1" ht="18" customHeight="1" x14ac:dyDescent="0.25">
      <c r="A197" s="743"/>
      <c r="B197" s="756"/>
      <c r="C197" s="727"/>
      <c r="D197" s="731"/>
      <c r="E197" s="323"/>
      <c r="F197" s="76"/>
      <c r="G197" s="187"/>
      <c r="H197" s="302"/>
      <c r="I197" s="88" t="s">
        <v>432</v>
      </c>
      <c r="J197" s="89">
        <v>250</v>
      </c>
      <c r="K197" s="90"/>
      <c r="L197" s="229"/>
      <c r="M197" s="92" t="s">
        <v>486</v>
      </c>
      <c r="N197" s="89">
        <v>0</v>
      </c>
      <c r="O197" s="88">
        <v>1</v>
      </c>
      <c r="P197" s="89" t="s">
        <v>433</v>
      </c>
      <c r="Q197" s="88"/>
      <c r="R197" s="95" t="s">
        <v>675</v>
      </c>
      <c r="S197" s="72">
        <f t="shared" si="12"/>
        <v>0</v>
      </c>
      <c r="T197" s="72">
        <f t="shared" si="10"/>
        <v>0</v>
      </c>
      <c r="U197" s="244">
        <v>1</v>
      </c>
      <c r="V197" s="188">
        <v>1</v>
      </c>
    </row>
    <row r="198" spans="1:22" s="46" customFormat="1" ht="18" customHeight="1" x14ac:dyDescent="0.25">
      <c r="A198" s="743"/>
      <c r="B198" s="756"/>
      <c r="C198" s="727"/>
      <c r="D198" s="731"/>
      <c r="E198" s="323"/>
      <c r="F198" s="76"/>
      <c r="G198" s="187"/>
      <c r="H198" s="302"/>
      <c r="I198" s="149" t="s">
        <v>676</v>
      </c>
      <c r="J198" s="150">
        <v>63</v>
      </c>
      <c r="K198" s="324"/>
      <c r="L198" s="152"/>
      <c r="M198" s="83" t="s">
        <v>486</v>
      </c>
      <c r="N198" s="150">
        <v>0</v>
      </c>
      <c r="O198" s="149">
        <v>3</v>
      </c>
      <c r="P198" s="150" t="s">
        <v>546</v>
      </c>
      <c r="Q198" s="151"/>
      <c r="R198" s="123" t="s">
        <v>488</v>
      </c>
      <c r="S198" s="72">
        <f t="shared" si="12"/>
        <v>0</v>
      </c>
      <c r="T198" s="72">
        <f t="shared" si="10"/>
        <v>0</v>
      </c>
      <c r="U198" s="189">
        <v>3</v>
      </c>
      <c r="V198" s="297">
        <v>3</v>
      </c>
    </row>
    <row r="199" spans="1:22" s="46" customFormat="1" ht="18" customHeight="1" x14ac:dyDescent="0.25">
      <c r="A199" s="743"/>
      <c r="B199" s="756"/>
      <c r="C199" s="727"/>
      <c r="D199" s="731"/>
      <c r="E199" s="323"/>
      <c r="F199" s="76"/>
      <c r="G199" s="187"/>
      <c r="H199" s="302"/>
      <c r="I199" s="79" t="s">
        <v>677</v>
      </c>
      <c r="J199" s="80">
        <v>160</v>
      </c>
      <c r="K199" s="325"/>
      <c r="L199" s="230"/>
      <c r="M199" s="83" t="s">
        <v>486</v>
      </c>
      <c r="N199" s="80">
        <v>0</v>
      </c>
      <c r="O199" s="79">
        <v>3</v>
      </c>
      <c r="P199" s="80" t="s">
        <v>546</v>
      </c>
      <c r="Q199" s="81"/>
      <c r="R199" s="85" t="s">
        <v>488</v>
      </c>
      <c r="S199" s="72">
        <f t="shared" si="12"/>
        <v>0</v>
      </c>
      <c r="T199" s="72">
        <f t="shared" si="10"/>
        <v>0</v>
      </c>
      <c r="U199" s="189">
        <v>3</v>
      </c>
      <c r="V199" s="297">
        <v>3</v>
      </c>
    </row>
    <row r="200" spans="1:22" s="46" customFormat="1" ht="18" customHeight="1" x14ac:dyDescent="0.25">
      <c r="A200" s="743"/>
      <c r="B200" s="756"/>
      <c r="C200" s="727"/>
      <c r="D200" s="731"/>
      <c r="E200" s="323"/>
      <c r="F200" s="76"/>
      <c r="G200" s="187"/>
      <c r="H200" s="302"/>
      <c r="I200" s="85" t="s">
        <v>678</v>
      </c>
      <c r="J200" s="80">
        <v>100</v>
      </c>
      <c r="K200" s="325"/>
      <c r="L200" s="230"/>
      <c r="M200" s="87" t="s">
        <v>486</v>
      </c>
      <c r="N200" s="80">
        <v>22</v>
      </c>
      <c r="O200" s="79">
        <v>1</v>
      </c>
      <c r="P200" s="80" t="s">
        <v>546</v>
      </c>
      <c r="Q200" s="81"/>
      <c r="R200" s="85" t="s">
        <v>488</v>
      </c>
      <c r="S200" s="72">
        <f t="shared" si="12"/>
        <v>7</v>
      </c>
      <c r="T200" s="72">
        <f t="shared" si="10"/>
        <v>2</v>
      </c>
      <c r="U200" s="72">
        <f t="shared" si="11"/>
        <v>0</v>
      </c>
      <c r="V200" s="86">
        <f t="shared" si="9"/>
        <v>0</v>
      </c>
    </row>
    <row r="201" spans="1:22" s="46" customFormat="1" ht="18" customHeight="1" x14ac:dyDescent="0.25">
      <c r="A201" s="743"/>
      <c r="B201" s="756"/>
      <c r="C201" s="727"/>
      <c r="D201" s="731"/>
      <c r="E201" s="323"/>
      <c r="F201" s="76"/>
      <c r="G201" s="187"/>
      <c r="H201" s="302"/>
      <c r="I201" s="149" t="s">
        <v>679</v>
      </c>
      <c r="J201" s="223"/>
      <c r="K201" s="324"/>
      <c r="L201" s="292"/>
      <c r="M201" s="83"/>
      <c r="N201" s="223"/>
      <c r="O201" s="224"/>
      <c r="P201" s="80" t="s">
        <v>546</v>
      </c>
      <c r="Q201" s="151"/>
      <c r="R201" s="85" t="s">
        <v>488</v>
      </c>
      <c r="S201" s="72">
        <f t="shared" si="12"/>
        <v>0</v>
      </c>
      <c r="T201" s="72">
        <f t="shared" si="10"/>
        <v>0</v>
      </c>
      <c r="U201" s="96">
        <v>0</v>
      </c>
      <c r="V201" s="97">
        <v>0</v>
      </c>
    </row>
    <row r="202" spans="1:22" s="46" customFormat="1" ht="18" customHeight="1" x14ac:dyDescent="0.25">
      <c r="A202" s="743"/>
      <c r="B202" s="756"/>
      <c r="C202" s="727"/>
      <c r="D202" s="731"/>
      <c r="E202" s="323"/>
      <c r="F202" s="76"/>
      <c r="G202" s="187"/>
      <c r="H202" s="302"/>
      <c r="I202" s="149" t="s">
        <v>444</v>
      </c>
      <c r="J202" s="150">
        <v>60</v>
      </c>
      <c r="K202" s="151"/>
      <c r="L202" s="292"/>
      <c r="M202" s="83" t="s">
        <v>486</v>
      </c>
      <c r="N202" s="150">
        <v>103</v>
      </c>
      <c r="O202" s="149">
        <v>1</v>
      </c>
      <c r="P202" s="150" t="s">
        <v>546</v>
      </c>
      <c r="Q202" s="151"/>
      <c r="R202" s="123" t="s">
        <v>488</v>
      </c>
      <c r="S202" s="72">
        <f t="shared" si="12"/>
        <v>34</v>
      </c>
      <c r="T202" s="72">
        <f t="shared" ref="T202:T265" si="13">ROUND(S202/3,0)</f>
        <v>11</v>
      </c>
      <c r="U202" s="72">
        <f t="shared" ref="U202:U257" si="14">ROUND(O202/3,0)</f>
        <v>0</v>
      </c>
      <c r="V202" s="86">
        <f t="shared" ref="V202:V257" si="15">ROUND(U202/3,0)</f>
        <v>0</v>
      </c>
    </row>
    <row r="203" spans="1:22" s="46" customFormat="1" ht="18" customHeight="1" thickBot="1" x14ac:dyDescent="0.3">
      <c r="A203" s="743"/>
      <c r="B203" s="756"/>
      <c r="C203" s="727"/>
      <c r="D203" s="731"/>
      <c r="E203" s="326"/>
      <c r="F203" s="98"/>
      <c r="G203" s="309"/>
      <c r="H203" s="307"/>
      <c r="I203" s="208" t="s">
        <v>401</v>
      </c>
      <c r="J203" s="209">
        <v>100</v>
      </c>
      <c r="K203" s="210"/>
      <c r="L203" s="234"/>
      <c r="M203" s="212" t="s">
        <v>486</v>
      </c>
      <c r="N203" s="209">
        <v>0</v>
      </c>
      <c r="O203" s="208">
        <v>1</v>
      </c>
      <c r="P203" s="209" t="s">
        <v>680</v>
      </c>
      <c r="Q203" s="208" t="s">
        <v>553</v>
      </c>
      <c r="R203" s="213" t="s">
        <v>488</v>
      </c>
      <c r="S203" s="72">
        <f t="shared" si="12"/>
        <v>0</v>
      </c>
      <c r="T203" s="72">
        <f t="shared" si="13"/>
        <v>0</v>
      </c>
      <c r="U203" s="189">
        <v>1</v>
      </c>
      <c r="V203" s="297">
        <v>1</v>
      </c>
    </row>
    <row r="204" spans="1:22" s="46" customFormat="1" ht="18" customHeight="1" x14ac:dyDescent="0.25">
      <c r="A204" s="743"/>
      <c r="B204" s="756"/>
      <c r="C204" s="728"/>
      <c r="D204" s="739" t="s">
        <v>681</v>
      </c>
      <c r="E204" s="64"/>
      <c r="F204" s="64"/>
      <c r="G204" s="298"/>
      <c r="H204" s="306"/>
      <c r="I204" s="67" t="s">
        <v>311</v>
      </c>
      <c r="J204" s="68">
        <v>100</v>
      </c>
      <c r="K204" s="178"/>
      <c r="L204" s="243"/>
      <c r="M204" s="70" t="s">
        <v>486</v>
      </c>
      <c r="N204" s="68">
        <v>98</v>
      </c>
      <c r="O204" s="67">
        <v>0</v>
      </c>
      <c r="P204" s="68" t="s">
        <v>680</v>
      </c>
      <c r="Q204" s="178"/>
      <c r="R204" s="71" t="s">
        <v>488</v>
      </c>
      <c r="S204" s="72">
        <f t="shared" si="12"/>
        <v>33</v>
      </c>
      <c r="T204" s="72">
        <f t="shared" si="13"/>
        <v>11</v>
      </c>
      <c r="U204" s="72">
        <f t="shared" si="14"/>
        <v>0</v>
      </c>
      <c r="V204" s="86">
        <f t="shared" si="15"/>
        <v>0</v>
      </c>
    </row>
    <row r="205" spans="1:22" s="46" customFormat="1" ht="18" customHeight="1" x14ac:dyDescent="0.25">
      <c r="A205" s="743"/>
      <c r="B205" s="756"/>
      <c r="C205" s="728"/>
      <c r="D205" s="740"/>
      <c r="E205" s="76"/>
      <c r="F205" s="76"/>
      <c r="G205" s="187"/>
      <c r="H205" s="302"/>
      <c r="I205" s="79" t="s">
        <v>314</v>
      </c>
      <c r="J205" s="80">
        <v>160</v>
      </c>
      <c r="K205" s="81"/>
      <c r="L205" s="230"/>
      <c r="M205" s="83" t="s">
        <v>486</v>
      </c>
      <c r="N205" s="80">
        <v>146</v>
      </c>
      <c r="O205" s="79">
        <v>2</v>
      </c>
      <c r="P205" s="80" t="s">
        <v>680</v>
      </c>
      <c r="Q205" s="81"/>
      <c r="R205" s="85" t="s">
        <v>488</v>
      </c>
      <c r="S205" s="72">
        <f t="shared" si="12"/>
        <v>49</v>
      </c>
      <c r="T205" s="72">
        <f t="shared" si="13"/>
        <v>16</v>
      </c>
      <c r="U205" s="72">
        <f t="shared" si="14"/>
        <v>1</v>
      </c>
      <c r="V205" s="86">
        <f t="shared" si="15"/>
        <v>0</v>
      </c>
    </row>
    <row r="206" spans="1:22" s="46" customFormat="1" ht="18" customHeight="1" x14ac:dyDescent="0.25">
      <c r="A206" s="743"/>
      <c r="B206" s="756"/>
      <c r="C206" s="728"/>
      <c r="D206" s="740"/>
      <c r="E206" s="76"/>
      <c r="F206" s="76"/>
      <c r="G206" s="187"/>
      <c r="H206" s="302"/>
      <c r="I206" s="79" t="s">
        <v>400</v>
      </c>
      <c r="J206" s="80">
        <v>160</v>
      </c>
      <c r="K206" s="81"/>
      <c r="L206" s="230"/>
      <c r="M206" s="83" t="s">
        <v>486</v>
      </c>
      <c r="N206" s="80">
        <v>128</v>
      </c>
      <c r="O206" s="79">
        <v>13</v>
      </c>
      <c r="P206" s="80" t="s">
        <v>680</v>
      </c>
      <c r="Q206" s="79" t="s">
        <v>669</v>
      </c>
      <c r="R206" s="85" t="s">
        <v>488</v>
      </c>
      <c r="S206" s="72">
        <f t="shared" si="12"/>
        <v>43</v>
      </c>
      <c r="T206" s="72">
        <f t="shared" si="13"/>
        <v>14</v>
      </c>
      <c r="U206" s="72">
        <f t="shared" si="14"/>
        <v>4</v>
      </c>
      <c r="V206" s="86">
        <f t="shared" si="15"/>
        <v>1</v>
      </c>
    </row>
    <row r="207" spans="1:22" s="46" customFormat="1" ht="18" customHeight="1" thickBot="1" x14ac:dyDescent="0.3">
      <c r="A207" s="743"/>
      <c r="B207" s="756"/>
      <c r="C207" s="728"/>
      <c r="D207" s="740"/>
      <c r="E207" s="76"/>
      <c r="F207" s="76"/>
      <c r="G207" s="187"/>
      <c r="H207" s="307"/>
      <c r="I207" s="208" t="s">
        <v>315</v>
      </c>
      <c r="J207" s="209">
        <v>160</v>
      </c>
      <c r="K207" s="210"/>
      <c r="L207" s="234"/>
      <c r="M207" s="212" t="s">
        <v>486</v>
      </c>
      <c r="N207" s="209">
        <v>107</v>
      </c>
      <c r="O207" s="208">
        <v>4</v>
      </c>
      <c r="P207" s="209" t="s">
        <v>680</v>
      </c>
      <c r="Q207" s="210"/>
      <c r="R207" s="213" t="s">
        <v>488</v>
      </c>
      <c r="S207" s="72">
        <f t="shared" si="12"/>
        <v>36</v>
      </c>
      <c r="T207" s="72">
        <f t="shared" si="13"/>
        <v>12</v>
      </c>
      <c r="U207" s="72">
        <f t="shared" si="14"/>
        <v>1</v>
      </c>
      <c r="V207" s="86">
        <f t="shared" si="15"/>
        <v>0</v>
      </c>
    </row>
    <row r="208" spans="1:22" s="46" customFormat="1" ht="18" customHeight="1" x14ac:dyDescent="0.25">
      <c r="A208" s="743"/>
      <c r="B208" s="756"/>
      <c r="C208" s="728"/>
      <c r="D208" s="740"/>
      <c r="E208" s="76"/>
      <c r="F208" s="76"/>
      <c r="G208" s="327" t="s">
        <v>628</v>
      </c>
      <c r="H208" s="733" t="s">
        <v>682</v>
      </c>
      <c r="I208" s="328" t="s">
        <v>395</v>
      </c>
      <c r="J208" s="329"/>
      <c r="K208" s="330"/>
      <c r="L208" s="243"/>
      <c r="M208" s="70" t="s">
        <v>486</v>
      </c>
      <c r="N208" s="267"/>
      <c r="O208" s="268"/>
      <c r="P208" s="68" t="s">
        <v>680</v>
      </c>
      <c r="Q208" s="67" t="s">
        <v>683</v>
      </c>
      <c r="R208" s="71" t="s">
        <v>488</v>
      </c>
      <c r="S208" s="72">
        <f t="shared" si="12"/>
        <v>0</v>
      </c>
      <c r="T208" s="72">
        <f t="shared" si="13"/>
        <v>0</v>
      </c>
      <c r="U208" s="96">
        <v>0</v>
      </c>
      <c r="V208" s="97">
        <v>0</v>
      </c>
    </row>
    <row r="209" spans="1:22" s="46" customFormat="1" ht="18" customHeight="1" x14ac:dyDescent="0.25">
      <c r="A209" s="743"/>
      <c r="B209" s="756"/>
      <c r="C209" s="728"/>
      <c r="D209" s="740"/>
      <c r="E209" s="76"/>
      <c r="F209" s="76"/>
      <c r="G209" s="187"/>
      <c r="H209" s="734"/>
      <c r="I209" s="88" t="s">
        <v>684</v>
      </c>
      <c r="J209" s="89">
        <v>100</v>
      </c>
      <c r="K209" s="90"/>
      <c r="L209" s="229"/>
      <c r="M209" s="92" t="s">
        <v>486</v>
      </c>
      <c r="N209" s="89">
        <v>0</v>
      </c>
      <c r="O209" s="88">
        <v>3</v>
      </c>
      <c r="P209" s="89" t="s">
        <v>680</v>
      </c>
      <c r="Q209" s="88" t="s">
        <v>388</v>
      </c>
      <c r="R209" s="95" t="s">
        <v>685</v>
      </c>
      <c r="S209" s="72">
        <f t="shared" si="12"/>
        <v>0</v>
      </c>
      <c r="T209" s="72">
        <f t="shared" si="13"/>
        <v>0</v>
      </c>
      <c r="U209" s="244">
        <v>3</v>
      </c>
      <c r="V209" s="188">
        <v>3</v>
      </c>
    </row>
    <row r="210" spans="1:22" s="46" customFormat="1" ht="18" customHeight="1" x14ac:dyDescent="0.25">
      <c r="A210" s="743"/>
      <c r="B210" s="756"/>
      <c r="C210" s="728"/>
      <c r="D210" s="740"/>
      <c r="E210" s="76"/>
      <c r="F210" s="76"/>
      <c r="G210" s="187"/>
      <c r="H210" s="734"/>
      <c r="I210" s="88" t="s">
        <v>686</v>
      </c>
      <c r="J210" s="89">
        <v>25</v>
      </c>
      <c r="K210" s="90"/>
      <c r="L210" s="229"/>
      <c r="M210" s="92" t="s">
        <v>486</v>
      </c>
      <c r="N210" s="89">
        <v>0</v>
      </c>
      <c r="O210" s="88">
        <v>1</v>
      </c>
      <c r="P210" s="89" t="s">
        <v>680</v>
      </c>
      <c r="Q210" s="88" t="s">
        <v>687</v>
      </c>
      <c r="R210" s="95" t="s">
        <v>685</v>
      </c>
      <c r="S210" s="72">
        <f t="shared" si="12"/>
        <v>0</v>
      </c>
      <c r="T210" s="72">
        <f t="shared" si="13"/>
        <v>0</v>
      </c>
      <c r="U210" s="244">
        <v>1</v>
      </c>
      <c r="V210" s="188">
        <v>1</v>
      </c>
    </row>
    <row r="211" spans="1:22" s="46" customFormat="1" ht="18" customHeight="1" x14ac:dyDescent="0.25">
      <c r="A211" s="743"/>
      <c r="B211" s="756"/>
      <c r="C211" s="728"/>
      <c r="D211" s="740"/>
      <c r="E211" s="76"/>
      <c r="F211" s="76"/>
      <c r="G211" s="187"/>
      <c r="H211" s="734"/>
      <c r="I211" s="79" t="s">
        <v>399</v>
      </c>
      <c r="J211" s="80">
        <v>160</v>
      </c>
      <c r="K211" s="81"/>
      <c r="L211" s="230"/>
      <c r="M211" s="83" t="s">
        <v>486</v>
      </c>
      <c r="N211" s="80">
        <v>0</v>
      </c>
      <c r="O211" s="79">
        <v>1</v>
      </c>
      <c r="P211" s="80" t="s">
        <v>680</v>
      </c>
      <c r="Q211" s="79" t="s">
        <v>688</v>
      </c>
      <c r="R211" s="85" t="s">
        <v>488</v>
      </c>
      <c r="S211" s="72">
        <f t="shared" si="12"/>
        <v>0</v>
      </c>
      <c r="T211" s="72">
        <f t="shared" si="13"/>
        <v>0</v>
      </c>
      <c r="U211" s="189">
        <v>1</v>
      </c>
      <c r="V211" s="297">
        <v>1</v>
      </c>
    </row>
    <row r="212" spans="1:22" s="46" customFormat="1" ht="18" customHeight="1" x14ac:dyDescent="0.25">
      <c r="A212" s="743"/>
      <c r="B212" s="756"/>
      <c r="C212" s="728"/>
      <c r="D212" s="740"/>
      <c r="E212" s="76"/>
      <c r="F212" s="76"/>
      <c r="G212" s="187"/>
      <c r="H212" s="734"/>
      <c r="I212" s="88" t="s">
        <v>387</v>
      </c>
      <c r="J212" s="89">
        <v>10</v>
      </c>
      <c r="K212" s="90"/>
      <c r="L212" s="229"/>
      <c r="M212" s="92" t="s">
        <v>486</v>
      </c>
      <c r="N212" s="93"/>
      <c r="O212" s="94"/>
      <c r="P212" s="89" t="s">
        <v>680</v>
      </c>
      <c r="Q212" s="88" t="s">
        <v>388</v>
      </c>
      <c r="R212" s="95" t="s">
        <v>685</v>
      </c>
      <c r="S212" s="72">
        <f t="shared" si="12"/>
        <v>0</v>
      </c>
      <c r="T212" s="72">
        <f t="shared" si="13"/>
        <v>0</v>
      </c>
      <c r="U212" s="96">
        <v>0</v>
      </c>
      <c r="V212" s="97">
        <v>0</v>
      </c>
    </row>
    <row r="213" spans="1:22" s="46" customFormat="1" ht="18" customHeight="1" thickBot="1" x14ac:dyDescent="0.3">
      <c r="A213" s="743"/>
      <c r="B213" s="756"/>
      <c r="C213" s="728"/>
      <c r="D213" s="740"/>
      <c r="E213" s="76"/>
      <c r="F213" s="76"/>
      <c r="G213" s="187"/>
      <c r="H213" s="735"/>
      <c r="I213" s="192" t="s">
        <v>689</v>
      </c>
      <c r="J213" s="193">
        <v>10</v>
      </c>
      <c r="K213" s="194"/>
      <c r="L213" s="303"/>
      <c r="M213" s="331" t="s">
        <v>486</v>
      </c>
      <c r="N213" s="239"/>
      <c r="O213" s="319"/>
      <c r="P213" s="193" t="s">
        <v>680</v>
      </c>
      <c r="Q213" s="192" t="s">
        <v>388</v>
      </c>
      <c r="R213" s="198" t="s">
        <v>685</v>
      </c>
      <c r="S213" s="72">
        <f t="shared" ref="S213:S276" si="16">ROUND(N213/3,0)</f>
        <v>0</v>
      </c>
      <c r="T213" s="72">
        <f t="shared" si="13"/>
        <v>0</v>
      </c>
      <c r="U213" s="96">
        <v>0</v>
      </c>
      <c r="V213" s="97">
        <v>0</v>
      </c>
    </row>
    <row r="214" spans="1:22" s="46" customFormat="1" ht="18" customHeight="1" x14ac:dyDescent="0.25">
      <c r="A214" s="743"/>
      <c r="B214" s="756"/>
      <c r="C214" s="728"/>
      <c r="D214" s="740"/>
      <c r="E214" s="76"/>
      <c r="F214" s="76"/>
      <c r="G214" s="187"/>
      <c r="H214" s="313"/>
      <c r="I214" s="219" t="s">
        <v>690</v>
      </c>
      <c r="J214" s="220">
        <v>16</v>
      </c>
      <c r="K214" s="221"/>
      <c r="L214" s="222"/>
      <c r="M214" s="92" t="s">
        <v>486</v>
      </c>
      <c r="N214" s="220">
        <v>0</v>
      </c>
      <c r="O214" s="219">
        <v>1</v>
      </c>
      <c r="P214" s="220" t="s">
        <v>680</v>
      </c>
      <c r="Q214" s="219" t="s">
        <v>563</v>
      </c>
      <c r="R214" s="226" t="s">
        <v>449</v>
      </c>
      <c r="S214" s="72">
        <f t="shared" si="16"/>
        <v>0</v>
      </c>
      <c r="T214" s="72">
        <f t="shared" si="13"/>
        <v>0</v>
      </c>
      <c r="U214" s="244">
        <v>1</v>
      </c>
      <c r="V214" s="188">
        <v>1</v>
      </c>
    </row>
    <row r="215" spans="1:22" s="46" customFormat="1" ht="18" customHeight="1" x14ac:dyDescent="0.25">
      <c r="A215" s="743"/>
      <c r="B215" s="756"/>
      <c r="C215" s="728"/>
      <c r="D215" s="740"/>
      <c r="E215" s="76"/>
      <c r="F215" s="76"/>
      <c r="G215" s="187"/>
      <c r="H215" s="302"/>
      <c r="I215" s="79" t="s">
        <v>316</v>
      </c>
      <c r="J215" s="80">
        <v>250</v>
      </c>
      <c r="K215" s="81"/>
      <c r="L215" s="230"/>
      <c r="M215" s="83" t="s">
        <v>486</v>
      </c>
      <c r="N215" s="80">
        <v>110</v>
      </c>
      <c r="O215" s="79">
        <v>4</v>
      </c>
      <c r="P215" s="80" t="s">
        <v>680</v>
      </c>
      <c r="Q215" s="79" t="s">
        <v>530</v>
      </c>
      <c r="R215" s="85" t="s">
        <v>488</v>
      </c>
      <c r="S215" s="72">
        <f t="shared" si="16"/>
        <v>37</v>
      </c>
      <c r="T215" s="72">
        <f t="shared" si="13"/>
        <v>12</v>
      </c>
      <c r="U215" s="72">
        <f t="shared" si="14"/>
        <v>1</v>
      </c>
      <c r="V215" s="86">
        <f t="shared" si="15"/>
        <v>0</v>
      </c>
    </row>
    <row r="216" spans="1:22" s="46" customFormat="1" ht="18" customHeight="1" x14ac:dyDescent="0.25">
      <c r="A216" s="743"/>
      <c r="B216" s="756"/>
      <c r="C216" s="728"/>
      <c r="D216" s="740"/>
      <c r="E216" s="76"/>
      <c r="F216" s="76"/>
      <c r="G216" s="187"/>
      <c r="H216" s="302"/>
      <c r="I216" s="79" t="s">
        <v>312</v>
      </c>
      <c r="J216" s="80">
        <v>160</v>
      </c>
      <c r="K216" s="81"/>
      <c r="L216" s="230"/>
      <c r="M216" s="83" t="s">
        <v>486</v>
      </c>
      <c r="N216" s="80">
        <v>109</v>
      </c>
      <c r="O216" s="79">
        <v>0</v>
      </c>
      <c r="P216" s="80" t="s">
        <v>680</v>
      </c>
      <c r="Q216" s="81"/>
      <c r="R216" s="85" t="s">
        <v>488</v>
      </c>
      <c r="S216" s="72">
        <f t="shared" si="16"/>
        <v>36</v>
      </c>
      <c r="T216" s="72">
        <f t="shared" si="13"/>
        <v>12</v>
      </c>
      <c r="U216" s="72">
        <f t="shared" si="14"/>
        <v>0</v>
      </c>
      <c r="V216" s="86">
        <f t="shared" si="15"/>
        <v>0</v>
      </c>
    </row>
    <row r="217" spans="1:22" s="46" customFormat="1" ht="18" customHeight="1" x14ac:dyDescent="0.25">
      <c r="A217" s="743"/>
      <c r="B217" s="756"/>
      <c r="C217" s="728"/>
      <c r="D217" s="740"/>
      <c r="E217" s="76"/>
      <c r="F217" s="76"/>
      <c r="G217" s="187"/>
      <c r="H217" s="246" t="s">
        <v>628</v>
      </c>
      <c r="I217" s="247" t="s">
        <v>691</v>
      </c>
      <c r="J217" s="89">
        <v>250</v>
      </c>
      <c r="K217" s="88">
        <v>250</v>
      </c>
      <c r="L217" s="229"/>
      <c r="M217" s="92" t="s">
        <v>486</v>
      </c>
      <c r="N217" s="93"/>
      <c r="O217" s="94"/>
      <c r="P217" s="89" t="s">
        <v>680</v>
      </c>
      <c r="Q217" s="90" t="s">
        <v>692</v>
      </c>
      <c r="R217" s="95" t="s">
        <v>693</v>
      </c>
      <c r="S217" s="72">
        <f t="shared" si="16"/>
        <v>0</v>
      </c>
      <c r="T217" s="72">
        <f t="shared" si="13"/>
        <v>0</v>
      </c>
      <c r="U217" s="96">
        <v>0</v>
      </c>
      <c r="V217" s="97">
        <v>0</v>
      </c>
    </row>
    <row r="218" spans="1:22" s="46" customFormat="1" ht="18" customHeight="1" x14ac:dyDescent="0.25">
      <c r="A218" s="743"/>
      <c r="B218" s="756"/>
      <c r="C218" s="728"/>
      <c r="D218" s="740"/>
      <c r="E218" s="76"/>
      <c r="F218" s="76"/>
      <c r="G218" s="187"/>
      <c r="H218" s="302"/>
      <c r="I218" s="79" t="s">
        <v>424</v>
      </c>
      <c r="J218" s="80">
        <v>100</v>
      </c>
      <c r="K218" s="81"/>
      <c r="L218" s="230"/>
      <c r="M218" s="83" t="s">
        <v>486</v>
      </c>
      <c r="N218" s="80">
        <v>115</v>
      </c>
      <c r="O218" s="79">
        <v>2</v>
      </c>
      <c r="P218" s="80" t="s">
        <v>680</v>
      </c>
      <c r="Q218" s="81"/>
      <c r="R218" s="85" t="s">
        <v>488</v>
      </c>
      <c r="S218" s="72">
        <f t="shared" si="16"/>
        <v>38</v>
      </c>
      <c r="T218" s="72">
        <f t="shared" si="13"/>
        <v>13</v>
      </c>
      <c r="U218" s="72">
        <f t="shared" si="14"/>
        <v>1</v>
      </c>
      <c r="V218" s="86">
        <f t="shared" si="15"/>
        <v>0</v>
      </c>
    </row>
    <row r="219" spans="1:22" s="46" customFormat="1" ht="18" customHeight="1" x14ac:dyDescent="0.25">
      <c r="A219" s="743"/>
      <c r="B219" s="756"/>
      <c r="C219" s="728"/>
      <c r="D219" s="740"/>
      <c r="E219" s="76"/>
      <c r="F219" s="76"/>
      <c r="G219" s="187"/>
      <c r="H219" s="302"/>
      <c r="I219" s="79" t="s">
        <v>317</v>
      </c>
      <c r="J219" s="80">
        <v>100</v>
      </c>
      <c r="K219" s="81"/>
      <c r="L219" s="230"/>
      <c r="M219" s="83" t="s">
        <v>486</v>
      </c>
      <c r="N219" s="80">
        <v>0</v>
      </c>
      <c r="O219" s="79">
        <v>3</v>
      </c>
      <c r="P219" s="80" t="s">
        <v>680</v>
      </c>
      <c r="Q219" s="79" t="s">
        <v>567</v>
      </c>
      <c r="R219" s="85" t="s">
        <v>488</v>
      </c>
      <c r="S219" s="72">
        <f t="shared" si="16"/>
        <v>0</v>
      </c>
      <c r="T219" s="72">
        <f t="shared" si="13"/>
        <v>0</v>
      </c>
      <c r="U219" s="189">
        <v>3</v>
      </c>
      <c r="V219" s="297">
        <v>3</v>
      </c>
    </row>
    <row r="220" spans="1:22" s="46" customFormat="1" ht="18" customHeight="1" x14ac:dyDescent="0.25">
      <c r="A220" s="743"/>
      <c r="B220" s="756"/>
      <c r="C220" s="759"/>
      <c r="D220" s="740"/>
      <c r="E220" s="98"/>
      <c r="F220" s="98"/>
      <c r="G220" s="309"/>
      <c r="H220" s="307"/>
      <c r="I220" s="155" t="s">
        <v>694</v>
      </c>
      <c r="J220" s="156">
        <v>40</v>
      </c>
      <c r="K220" s="157"/>
      <c r="L220" s="310"/>
      <c r="M220" s="332" t="s">
        <v>486</v>
      </c>
      <c r="N220" s="156">
        <v>0</v>
      </c>
      <c r="O220" s="155">
        <v>1</v>
      </c>
      <c r="P220" s="163" t="s">
        <v>680</v>
      </c>
      <c r="Q220" s="163" t="s">
        <v>695</v>
      </c>
      <c r="R220" s="161" t="s">
        <v>696</v>
      </c>
      <c r="S220" s="72">
        <f t="shared" si="16"/>
        <v>0</v>
      </c>
      <c r="T220" s="72">
        <f t="shared" si="13"/>
        <v>0</v>
      </c>
      <c r="U220" s="131">
        <v>1</v>
      </c>
      <c r="V220" s="132">
        <v>1</v>
      </c>
    </row>
    <row r="221" spans="1:22" s="46" customFormat="1" ht="18" customHeight="1" thickBot="1" x14ac:dyDescent="0.3">
      <c r="A221" s="743"/>
      <c r="B221" s="757"/>
      <c r="C221" s="729"/>
      <c r="D221" s="741"/>
      <c r="E221" s="190"/>
      <c r="F221" s="190"/>
      <c r="G221" s="333"/>
      <c r="H221" s="334"/>
      <c r="I221" s="179" t="s">
        <v>697</v>
      </c>
      <c r="J221" s="180">
        <v>60</v>
      </c>
      <c r="K221" s="181"/>
      <c r="L221" s="238"/>
      <c r="M221" s="183" t="s">
        <v>486</v>
      </c>
      <c r="N221" s="180">
        <v>44</v>
      </c>
      <c r="O221" s="179">
        <v>1</v>
      </c>
      <c r="P221" s="180" t="s">
        <v>698</v>
      </c>
      <c r="Q221" s="273"/>
      <c r="R221" s="184" t="s">
        <v>488</v>
      </c>
      <c r="S221" s="72">
        <f t="shared" si="16"/>
        <v>15</v>
      </c>
      <c r="T221" s="72">
        <f t="shared" si="13"/>
        <v>5</v>
      </c>
      <c r="U221" s="72">
        <f t="shared" si="14"/>
        <v>0</v>
      </c>
      <c r="V221" s="86">
        <f t="shared" si="15"/>
        <v>0</v>
      </c>
    </row>
    <row r="222" spans="1:22" s="46" customFormat="1" ht="18" customHeight="1" x14ac:dyDescent="0.25">
      <c r="A222" s="743"/>
      <c r="B222" s="755" t="s">
        <v>699</v>
      </c>
      <c r="C222" s="726" t="s">
        <v>700</v>
      </c>
      <c r="D222" s="730"/>
      <c r="E222" s="321"/>
      <c r="F222" s="146"/>
      <c r="G222" s="312"/>
      <c r="H222" s="313"/>
      <c r="I222" s="149" t="s">
        <v>453</v>
      </c>
      <c r="J222" s="150">
        <v>160</v>
      </c>
      <c r="K222" s="151"/>
      <c r="L222" s="292"/>
      <c r="M222" s="83" t="s">
        <v>486</v>
      </c>
      <c r="N222" s="150">
        <v>42</v>
      </c>
      <c r="O222" s="149">
        <v>4</v>
      </c>
      <c r="P222" s="150" t="s">
        <v>433</v>
      </c>
      <c r="Q222" s="335" t="s">
        <v>525</v>
      </c>
      <c r="R222" s="123" t="s">
        <v>488</v>
      </c>
      <c r="S222" s="72">
        <f t="shared" si="16"/>
        <v>14</v>
      </c>
      <c r="T222" s="72">
        <f t="shared" si="13"/>
        <v>5</v>
      </c>
      <c r="U222" s="72">
        <f t="shared" si="14"/>
        <v>1</v>
      </c>
      <c r="V222" s="86">
        <f t="shared" si="15"/>
        <v>0</v>
      </c>
    </row>
    <row r="223" spans="1:22" s="46" customFormat="1" ht="18" customHeight="1" x14ac:dyDescent="0.25">
      <c r="A223" s="743"/>
      <c r="B223" s="756"/>
      <c r="C223" s="727"/>
      <c r="D223" s="731"/>
      <c r="E223" s="323"/>
      <c r="F223" s="76"/>
      <c r="G223" s="187"/>
      <c r="H223" s="302"/>
      <c r="I223" s="88" t="s">
        <v>386</v>
      </c>
      <c r="J223" s="89">
        <v>25</v>
      </c>
      <c r="K223" s="90"/>
      <c r="L223" s="229"/>
      <c r="M223" s="92" t="s">
        <v>486</v>
      </c>
      <c r="N223" s="89">
        <v>0</v>
      </c>
      <c r="O223" s="88">
        <v>1</v>
      </c>
      <c r="P223" s="89" t="s">
        <v>613</v>
      </c>
      <c r="Q223" s="88" t="s">
        <v>701</v>
      </c>
      <c r="R223" s="95" t="s">
        <v>702</v>
      </c>
      <c r="S223" s="72">
        <f t="shared" si="16"/>
        <v>0</v>
      </c>
      <c r="T223" s="72">
        <f t="shared" si="13"/>
        <v>0</v>
      </c>
      <c r="U223" s="244">
        <v>1</v>
      </c>
      <c r="V223" s="188">
        <v>1</v>
      </c>
    </row>
    <row r="224" spans="1:22" s="46" customFormat="1" ht="18" customHeight="1" x14ac:dyDescent="0.25">
      <c r="A224" s="743"/>
      <c r="B224" s="756"/>
      <c r="C224" s="727"/>
      <c r="D224" s="731"/>
      <c r="E224" s="323"/>
      <c r="F224" s="76"/>
      <c r="G224" s="187"/>
      <c r="H224" s="302"/>
      <c r="I224" s="79" t="s">
        <v>379</v>
      </c>
      <c r="J224" s="80">
        <v>60</v>
      </c>
      <c r="K224" s="81"/>
      <c r="L224" s="230"/>
      <c r="M224" s="83" t="s">
        <v>486</v>
      </c>
      <c r="N224" s="80">
        <v>151</v>
      </c>
      <c r="O224" s="79">
        <v>5</v>
      </c>
      <c r="P224" s="80" t="s">
        <v>613</v>
      </c>
      <c r="Q224" s="79" t="s">
        <v>567</v>
      </c>
      <c r="R224" s="85" t="s">
        <v>488</v>
      </c>
      <c r="S224" s="72">
        <f t="shared" si="16"/>
        <v>50</v>
      </c>
      <c r="T224" s="72">
        <f t="shared" si="13"/>
        <v>17</v>
      </c>
      <c r="U224" s="72">
        <f t="shared" si="14"/>
        <v>2</v>
      </c>
      <c r="V224" s="86">
        <f t="shared" si="15"/>
        <v>1</v>
      </c>
    </row>
    <row r="225" spans="1:22" s="46" customFormat="1" ht="18" customHeight="1" x14ac:dyDescent="0.25">
      <c r="A225" s="743"/>
      <c r="B225" s="756"/>
      <c r="C225" s="727"/>
      <c r="D225" s="731"/>
      <c r="E225" s="323"/>
      <c r="F225" s="76"/>
      <c r="G225" s="187"/>
      <c r="H225" s="302"/>
      <c r="I225" s="79" t="s">
        <v>382</v>
      </c>
      <c r="J225" s="80">
        <v>100</v>
      </c>
      <c r="K225" s="81"/>
      <c r="L225" s="230"/>
      <c r="M225" s="83" t="s">
        <v>486</v>
      </c>
      <c r="N225" s="80">
        <v>103</v>
      </c>
      <c r="O225" s="79">
        <v>3</v>
      </c>
      <c r="P225" s="80" t="s">
        <v>613</v>
      </c>
      <c r="Q225" s="81"/>
      <c r="R225" s="85" t="s">
        <v>488</v>
      </c>
      <c r="S225" s="72">
        <f t="shared" si="16"/>
        <v>34</v>
      </c>
      <c r="T225" s="72">
        <f t="shared" si="13"/>
        <v>11</v>
      </c>
      <c r="U225" s="72">
        <f t="shared" si="14"/>
        <v>1</v>
      </c>
      <c r="V225" s="86">
        <f t="shared" si="15"/>
        <v>0</v>
      </c>
    </row>
    <row r="226" spans="1:22" s="46" customFormat="1" ht="18" customHeight="1" x14ac:dyDescent="0.25">
      <c r="A226" s="743"/>
      <c r="B226" s="756"/>
      <c r="C226" s="727"/>
      <c r="D226" s="731"/>
      <c r="E226" s="323"/>
      <c r="F226" s="76"/>
      <c r="G226" s="187"/>
      <c r="H226" s="302"/>
      <c r="I226" s="79" t="s">
        <v>398</v>
      </c>
      <c r="J226" s="80">
        <v>160</v>
      </c>
      <c r="K226" s="81"/>
      <c r="L226" s="230"/>
      <c r="M226" s="83" t="s">
        <v>486</v>
      </c>
      <c r="N226" s="80">
        <v>109</v>
      </c>
      <c r="O226" s="79">
        <v>7</v>
      </c>
      <c r="P226" s="80" t="s">
        <v>613</v>
      </c>
      <c r="Q226" s="79" t="s">
        <v>530</v>
      </c>
      <c r="R226" s="85" t="s">
        <v>488</v>
      </c>
      <c r="S226" s="72">
        <f t="shared" si="16"/>
        <v>36</v>
      </c>
      <c r="T226" s="72">
        <f t="shared" si="13"/>
        <v>12</v>
      </c>
      <c r="U226" s="72">
        <f t="shared" si="14"/>
        <v>2</v>
      </c>
      <c r="V226" s="86">
        <f t="shared" si="15"/>
        <v>1</v>
      </c>
    </row>
    <row r="227" spans="1:22" s="46" customFormat="1" ht="18" customHeight="1" x14ac:dyDescent="0.25">
      <c r="A227" s="743"/>
      <c r="B227" s="756"/>
      <c r="C227" s="727"/>
      <c r="D227" s="731"/>
      <c r="E227" s="323"/>
      <c r="F227" s="76"/>
      <c r="G227" s="187"/>
      <c r="H227" s="302"/>
      <c r="I227" s="79" t="s">
        <v>383</v>
      </c>
      <c r="J227" s="80">
        <v>40</v>
      </c>
      <c r="K227" s="81"/>
      <c r="L227" s="230"/>
      <c r="M227" s="83" t="s">
        <v>486</v>
      </c>
      <c r="N227" s="80">
        <v>0</v>
      </c>
      <c r="O227" s="79">
        <v>1</v>
      </c>
      <c r="P227" s="80" t="s">
        <v>613</v>
      </c>
      <c r="Q227" s="79" t="s">
        <v>703</v>
      </c>
      <c r="R227" s="85" t="s">
        <v>488</v>
      </c>
      <c r="S227" s="72">
        <f t="shared" si="16"/>
        <v>0</v>
      </c>
      <c r="T227" s="72">
        <f t="shared" si="13"/>
        <v>0</v>
      </c>
      <c r="U227" s="189">
        <v>1</v>
      </c>
      <c r="V227" s="297">
        <v>1</v>
      </c>
    </row>
    <row r="228" spans="1:22" s="46" customFormat="1" ht="18" customHeight="1" x14ac:dyDescent="0.25">
      <c r="A228" s="743"/>
      <c r="B228" s="756"/>
      <c r="C228" s="727"/>
      <c r="D228" s="731"/>
      <c r="E228" s="323"/>
      <c r="F228" s="76"/>
      <c r="G228" s="187"/>
      <c r="H228" s="302"/>
      <c r="I228" s="79" t="s">
        <v>298</v>
      </c>
      <c r="J228" s="80">
        <v>100</v>
      </c>
      <c r="K228" s="81"/>
      <c r="L228" s="230"/>
      <c r="M228" s="83" t="s">
        <v>486</v>
      </c>
      <c r="N228" s="80">
        <v>62</v>
      </c>
      <c r="O228" s="79">
        <v>1</v>
      </c>
      <c r="P228" s="80" t="s">
        <v>613</v>
      </c>
      <c r="Q228" s="79"/>
      <c r="R228" s="85" t="s">
        <v>488</v>
      </c>
      <c r="S228" s="72">
        <f t="shared" si="16"/>
        <v>21</v>
      </c>
      <c r="T228" s="72">
        <f t="shared" si="13"/>
        <v>7</v>
      </c>
      <c r="U228" s="72">
        <f t="shared" si="14"/>
        <v>0</v>
      </c>
      <c r="V228" s="86">
        <f t="shared" si="15"/>
        <v>0</v>
      </c>
    </row>
    <row r="229" spans="1:22" s="46" customFormat="1" ht="18" customHeight="1" x14ac:dyDescent="0.25">
      <c r="A229" s="743"/>
      <c r="B229" s="756"/>
      <c r="C229" s="727"/>
      <c r="D229" s="731"/>
      <c r="E229" s="323"/>
      <c r="F229" s="76"/>
      <c r="G229" s="187"/>
      <c r="H229" s="302"/>
      <c r="I229" s="79" t="s">
        <v>417</v>
      </c>
      <c r="J229" s="80">
        <v>250</v>
      </c>
      <c r="K229" s="81"/>
      <c r="L229" s="230"/>
      <c r="M229" s="83" t="s">
        <v>486</v>
      </c>
      <c r="N229" s="80">
        <v>0</v>
      </c>
      <c r="O229" s="79">
        <v>1</v>
      </c>
      <c r="P229" s="80" t="s">
        <v>613</v>
      </c>
      <c r="Q229" s="79" t="s">
        <v>704</v>
      </c>
      <c r="R229" s="85" t="s">
        <v>488</v>
      </c>
      <c r="S229" s="72">
        <f t="shared" si="16"/>
        <v>0</v>
      </c>
      <c r="T229" s="72">
        <f t="shared" si="13"/>
        <v>0</v>
      </c>
      <c r="U229" s="189">
        <v>1</v>
      </c>
      <c r="V229" s="297">
        <v>1</v>
      </c>
    </row>
    <row r="230" spans="1:22" s="46" customFormat="1" ht="18" customHeight="1" x14ac:dyDescent="0.25">
      <c r="A230" s="743"/>
      <c r="B230" s="756"/>
      <c r="C230" s="727"/>
      <c r="D230" s="731"/>
      <c r="E230" s="323"/>
      <c r="F230" s="76"/>
      <c r="G230" s="187"/>
      <c r="H230" s="302"/>
      <c r="I230" s="336" t="s">
        <v>705</v>
      </c>
      <c r="J230" s="336">
        <v>40</v>
      </c>
      <c r="K230" s="337"/>
      <c r="L230" s="337"/>
      <c r="M230" s="338" t="s">
        <v>486</v>
      </c>
      <c r="N230" s="336">
        <v>0</v>
      </c>
      <c r="O230" s="336">
        <v>1</v>
      </c>
      <c r="P230" s="336" t="s">
        <v>452</v>
      </c>
      <c r="Q230" s="336"/>
      <c r="R230" s="336" t="s">
        <v>706</v>
      </c>
      <c r="S230" s="72">
        <f t="shared" si="16"/>
        <v>0</v>
      </c>
      <c r="T230" s="72">
        <f t="shared" si="13"/>
        <v>0</v>
      </c>
      <c r="U230" s="339">
        <v>1</v>
      </c>
      <c r="V230" s="340">
        <v>1</v>
      </c>
    </row>
    <row r="231" spans="1:22" s="46" customFormat="1" ht="18" customHeight="1" x14ac:dyDescent="0.25">
      <c r="A231" s="743"/>
      <c r="B231" s="756"/>
      <c r="C231" s="727"/>
      <c r="D231" s="731"/>
      <c r="E231" s="323"/>
      <c r="F231" s="76"/>
      <c r="G231" s="187"/>
      <c r="H231" s="302"/>
      <c r="I231" s="136" t="s">
        <v>297</v>
      </c>
      <c r="J231" s="137">
        <v>160</v>
      </c>
      <c r="K231" s="341"/>
      <c r="L231" s="342"/>
      <c r="M231" s="140" t="s">
        <v>486</v>
      </c>
      <c r="N231" s="85">
        <v>103</v>
      </c>
      <c r="O231" s="85">
        <v>8</v>
      </c>
      <c r="P231" s="137" t="s">
        <v>452</v>
      </c>
      <c r="Q231" s="85" t="s">
        <v>707</v>
      </c>
      <c r="R231" s="144" t="s">
        <v>488</v>
      </c>
      <c r="S231" s="72">
        <f t="shared" si="16"/>
        <v>34</v>
      </c>
      <c r="T231" s="72">
        <f t="shared" si="13"/>
        <v>11</v>
      </c>
      <c r="U231" s="72">
        <f t="shared" si="14"/>
        <v>3</v>
      </c>
      <c r="V231" s="86">
        <f t="shared" si="15"/>
        <v>1</v>
      </c>
    </row>
    <row r="232" spans="1:22" s="46" customFormat="1" ht="18" customHeight="1" x14ac:dyDescent="0.25">
      <c r="A232" s="743"/>
      <c r="B232" s="756"/>
      <c r="C232" s="727"/>
      <c r="D232" s="731"/>
      <c r="E232" s="323"/>
      <c r="F232" s="76"/>
      <c r="G232" s="187"/>
      <c r="H232" s="302"/>
      <c r="I232" s="136" t="s">
        <v>402</v>
      </c>
      <c r="J232" s="137">
        <v>100</v>
      </c>
      <c r="K232" s="341"/>
      <c r="L232" s="342"/>
      <c r="M232" s="140" t="s">
        <v>486</v>
      </c>
      <c r="N232" s="85">
        <v>83</v>
      </c>
      <c r="O232" s="85">
        <v>2</v>
      </c>
      <c r="P232" s="137" t="s">
        <v>452</v>
      </c>
      <c r="Q232" s="343"/>
      <c r="R232" s="144" t="s">
        <v>488</v>
      </c>
      <c r="S232" s="72">
        <f t="shared" si="16"/>
        <v>28</v>
      </c>
      <c r="T232" s="72">
        <f t="shared" si="13"/>
        <v>9</v>
      </c>
      <c r="U232" s="72">
        <f t="shared" si="14"/>
        <v>1</v>
      </c>
      <c r="V232" s="86">
        <f t="shared" si="15"/>
        <v>0</v>
      </c>
    </row>
    <row r="233" spans="1:22" s="46" customFormat="1" ht="18" customHeight="1" x14ac:dyDescent="0.25">
      <c r="A233" s="743"/>
      <c r="B233" s="756"/>
      <c r="C233" s="727"/>
      <c r="D233" s="731"/>
      <c r="E233" s="323"/>
      <c r="F233" s="76"/>
      <c r="G233" s="187"/>
      <c r="H233" s="302"/>
      <c r="I233" s="136" t="s">
        <v>708</v>
      </c>
      <c r="J233" s="137">
        <v>63</v>
      </c>
      <c r="K233" s="138"/>
      <c r="L233" s="344"/>
      <c r="M233" s="140" t="s">
        <v>486</v>
      </c>
      <c r="N233" s="345"/>
      <c r="O233" s="142"/>
      <c r="P233" s="137" t="s">
        <v>452</v>
      </c>
      <c r="Q233" s="136"/>
      <c r="R233" s="144" t="s">
        <v>488</v>
      </c>
      <c r="S233" s="72">
        <f t="shared" si="16"/>
        <v>0</v>
      </c>
      <c r="T233" s="72">
        <f t="shared" si="13"/>
        <v>0</v>
      </c>
      <c r="U233" s="96">
        <v>0</v>
      </c>
      <c r="V233" s="97">
        <v>0</v>
      </c>
    </row>
    <row r="234" spans="1:22" s="46" customFormat="1" ht="18" customHeight="1" x14ac:dyDescent="0.25">
      <c r="A234" s="743"/>
      <c r="B234" s="756"/>
      <c r="C234" s="727"/>
      <c r="D234" s="731"/>
      <c r="E234" s="323"/>
      <c r="F234" s="76"/>
      <c r="G234" s="186"/>
      <c r="H234" s="76"/>
      <c r="I234" s="79" t="s">
        <v>407</v>
      </c>
      <c r="J234" s="80">
        <v>160</v>
      </c>
      <c r="K234" s="81"/>
      <c r="L234" s="230"/>
      <c r="M234" s="83" t="s">
        <v>486</v>
      </c>
      <c r="N234" s="80">
        <v>80</v>
      </c>
      <c r="O234" s="79">
        <v>9</v>
      </c>
      <c r="P234" s="80" t="s">
        <v>709</v>
      </c>
      <c r="Q234" s="79" t="s">
        <v>707</v>
      </c>
      <c r="R234" s="85" t="s">
        <v>488</v>
      </c>
      <c r="S234" s="72">
        <f t="shared" si="16"/>
        <v>27</v>
      </c>
      <c r="T234" s="72">
        <f t="shared" si="13"/>
        <v>9</v>
      </c>
      <c r="U234" s="72">
        <f t="shared" si="14"/>
        <v>3</v>
      </c>
      <c r="V234" s="86">
        <f t="shared" si="15"/>
        <v>1</v>
      </c>
    </row>
    <row r="235" spans="1:22" s="46" customFormat="1" ht="18" customHeight="1" x14ac:dyDescent="0.25">
      <c r="A235" s="743"/>
      <c r="B235" s="756"/>
      <c r="C235" s="727"/>
      <c r="D235" s="731"/>
      <c r="E235" s="323"/>
      <c r="F235" s="76"/>
      <c r="G235" s="186"/>
      <c r="H235" s="76"/>
      <c r="I235" s="79" t="s">
        <v>290</v>
      </c>
      <c r="J235" s="80">
        <v>40</v>
      </c>
      <c r="K235" s="81"/>
      <c r="L235" s="230"/>
      <c r="M235" s="83" t="s">
        <v>486</v>
      </c>
      <c r="N235" s="80">
        <v>8</v>
      </c>
      <c r="O235" s="79">
        <v>1</v>
      </c>
      <c r="P235" s="80" t="s">
        <v>709</v>
      </c>
      <c r="Q235" s="79" t="s">
        <v>710</v>
      </c>
      <c r="R235" s="85" t="s">
        <v>488</v>
      </c>
      <c r="S235" s="72">
        <f t="shared" si="16"/>
        <v>3</v>
      </c>
      <c r="T235" s="72">
        <f t="shared" si="13"/>
        <v>1</v>
      </c>
      <c r="U235" s="72">
        <f t="shared" si="14"/>
        <v>0</v>
      </c>
      <c r="V235" s="86">
        <f t="shared" si="15"/>
        <v>0</v>
      </c>
    </row>
    <row r="236" spans="1:22" s="46" customFormat="1" ht="18" customHeight="1" x14ac:dyDescent="0.25">
      <c r="A236" s="743"/>
      <c r="B236" s="756"/>
      <c r="C236" s="727"/>
      <c r="D236" s="731"/>
      <c r="E236" s="323"/>
      <c r="F236" s="76"/>
      <c r="G236" s="186"/>
      <c r="H236" s="76"/>
      <c r="I236" s="79" t="s">
        <v>445</v>
      </c>
      <c r="J236" s="80">
        <v>100</v>
      </c>
      <c r="K236" s="81"/>
      <c r="L236" s="230"/>
      <c r="M236" s="83" t="s">
        <v>486</v>
      </c>
      <c r="N236" s="80">
        <v>0</v>
      </c>
      <c r="O236" s="79">
        <v>1</v>
      </c>
      <c r="P236" s="80" t="s">
        <v>709</v>
      </c>
      <c r="Q236" s="79" t="s">
        <v>704</v>
      </c>
      <c r="R236" s="85" t="s">
        <v>488</v>
      </c>
      <c r="S236" s="72">
        <f t="shared" si="16"/>
        <v>0</v>
      </c>
      <c r="T236" s="72">
        <f t="shared" si="13"/>
        <v>0</v>
      </c>
      <c r="U236" s="189">
        <v>1</v>
      </c>
      <c r="V236" s="297">
        <v>1</v>
      </c>
    </row>
    <row r="237" spans="1:22" s="46" customFormat="1" ht="18" customHeight="1" x14ac:dyDescent="0.25">
      <c r="A237" s="743"/>
      <c r="B237" s="756"/>
      <c r="C237" s="727"/>
      <c r="D237" s="731"/>
      <c r="E237" s="323"/>
      <c r="F237" s="76"/>
      <c r="G237" s="186"/>
      <c r="H237" s="76"/>
      <c r="I237" s="79" t="s">
        <v>356</v>
      </c>
      <c r="J237" s="80">
        <v>100</v>
      </c>
      <c r="K237" s="81"/>
      <c r="L237" s="230"/>
      <c r="M237" s="83" t="s">
        <v>486</v>
      </c>
      <c r="N237" s="80">
        <v>98</v>
      </c>
      <c r="O237" s="79">
        <v>2</v>
      </c>
      <c r="P237" s="80" t="s">
        <v>709</v>
      </c>
      <c r="Q237" s="79"/>
      <c r="R237" s="85" t="s">
        <v>488</v>
      </c>
      <c r="S237" s="72">
        <f t="shared" si="16"/>
        <v>33</v>
      </c>
      <c r="T237" s="72">
        <f t="shared" si="13"/>
        <v>11</v>
      </c>
      <c r="U237" s="72">
        <f t="shared" si="14"/>
        <v>1</v>
      </c>
      <c r="V237" s="86">
        <f t="shared" si="15"/>
        <v>0</v>
      </c>
    </row>
    <row r="238" spans="1:22" s="46" customFormat="1" ht="18" customHeight="1" x14ac:dyDescent="0.25">
      <c r="A238" s="743"/>
      <c r="B238" s="756"/>
      <c r="C238" s="727"/>
      <c r="D238" s="731"/>
      <c r="E238" s="323"/>
      <c r="F238" s="76"/>
      <c r="G238" s="186"/>
      <c r="H238" s="76"/>
      <c r="I238" s="79" t="s">
        <v>323</v>
      </c>
      <c r="J238" s="80">
        <v>100</v>
      </c>
      <c r="K238" s="81"/>
      <c r="L238" s="230"/>
      <c r="M238" s="83" t="s">
        <v>486</v>
      </c>
      <c r="N238" s="80">
        <v>89</v>
      </c>
      <c r="O238" s="79">
        <v>2</v>
      </c>
      <c r="P238" s="80" t="s">
        <v>709</v>
      </c>
      <c r="Q238" s="79"/>
      <c r="R238" s="85" t="s">
        <v>488</v>
      </c>
      <c r="S238" s="72">
        <f t="shared" si="16"/>
        <v>30</v>
      </c>
      <c r="T238" s="72">
        <f t="shared" si="13"/>
        <v>10</v>
      </c>
      <c r="U238" s="72">
        <f t="shared" si="14"/>
        <v>1</v>
      </c>
      <c r="V238" s="86">
        <f t="shared" si="15"/>
        <v>0</v>
      </c>
    </row>
    <row r="239" spans="1:22" s="46" customFormat="1" ht="18" customHeight="1" x14ac:dyDescent="0.25">
      <c r="A239" s="743"/>
      <c r="B239" s="756"/>
      <c r="C239" s="727"/>
      <c r="D239" s="731"/>
      <c r="E239" s="323"/>
      <c r="F239" s="76"/>
      <c r="G239" s="186"/>
      <c r="H239" s="76"/>
      <c r="I239" s="136" t="s">
        <v>711</v>
      </c>
      <c r="J239" s="137">
        <v>63</v>
      </c>
      <c r="K239" s="138"/>
      <c r="L239" s="344"/>
      <c r="M239" s="140" t="s">
        <v>486</v>
      </c>
      <c r="N239" s="345"/>
      <c r="O239" s="142"/>
      <c r="P239" s="137" t="s">
        <v>709</v>
      </c>
      <c r="Q239" s="136"/>
      <c r="R239" s="144" t="s">
        <v>488</v>
      </c>
      <c r="S239" s="72">
        <f t="shared" si="16"/>
        <v>0</v>
      </c>
      <c r="T239" s="72">
        <f t="shared" si="13"/>
        <v>0</v>
      </c>
      <c r="U239" s="96">
        <v>0</v>
      </c>
      <c r="V239" s="97">
        <v>0</v>
      </c>
    </row>
    <row r="240" spans="1:22" s="46" customFormat="1" ht="18" customHeight="1" x14ac:dyDescent="0.25">
      <c r="A240" s="743"/>
      <c r="B240" s="756"/>
      <c r="C240" s="727"/>
      <c r="D240" s="731"/>
      <c r="E240" s="323"/>
      <c r="F240" s="76"/>
      <c r="G240" s="186"/>
      <c r="H240" s="76"/>
      <c r="I240" s="79" t="s">
        <v>428</v>
      </c>
      <c r="J240" s="80">
        <v>100</v>
      </c>
      <c r="K240" s="81"/>
      <c r="L240" s="230"/>
      <c r="M240" s="83" t="s">
        <v>486</v>
      </c>
      <c r="N240" s="80">
        <v>54</v>
      </c>
      <c r="O240" s="79">
        <v>0</v>
      </c>
      <c r="P240" s="80" t="s">
        <v>709</v>
      </c>
      <c r="Q240" s="79"/>
      <c r="R240" s="85" t="s">
        <v>488</v>
      </c>
      <c r="S240" s="72">
        <f t="shared" si="16"/>
        <v>18</v>
      </c>
      <c r="T240" s="72">
        <f t="shared" si="13"/>
        <v>6</v>
      </c>
      <c r="U240" s="72">
        <f t="shared" si="14"/>
        <v>0</v>
      </c>
      <c r="V240" s="86">
        <f t="shared" si="15"/>
        <v>0</v>
      </c>
    </row>
    <row r="241" spans="1:22" s="46" customFormat="1" ht="18" customHeight="1" thickBot="1" x14ac:dyDescent="0.3">
      <c r="A241" s="743"/>
      <c r="B241" s="756"/>
      <c r="C241" s="727"/>
      <c r="D241" s="731"/>
      <c r="E241" s="326"/>
      <c r="F241" s="98"/>
      <c r="G241" s="232"/>
      <c r="H241" s="98"/>
      <c r="I241" s="101" t="s">
        <v>712</v>
      </c>
      <c r="J241" s="102">
        <v>25</v>
      </c>
      <c r="K241" s="103"/>
      <c r="L241" s="281"/>
      <c r="M241" s="105" t="s">
        <v>486</v>
      </c>
      <c r="N241" s="102">
        <v>0</v>
      </c>
      <c r="O241" s="101">
        <v>1</v>
      </c>
      <c r="P241" s="102" t="s">
        <v>709</v>
      </c>
      <c r="Q241" s="101" t="s">
        <v>639</v>
      </c>
      <c r="R241" s="282" t="s">
        <v>565</v>
      </c>
      <c r="S241" s="72">
        <f t="shared" si="16"/>
        <v>0</v>
      </c>
      <c r="T241" s="72">
        <f t="shared" si="13"/>
        <v>0</v>
      </c>
      <c r="U241" s="244">
        <v>1</v>
      </c>
      <c r="V241" s="188">
        <v>1</v>
      </c>
    </row>
    <row r="242" spans="1:22" s="46" customFormat="1" ht="18" customHeight="1" x14ac:dyDescent="0.25">
      <c r="A242" s="743"/>
      <c r="B242" s="756"/>
      <c r="C242" s="728"/>
      <c r="D242" s="739" t="s">
        <v>713</v>
      </c>
      <c r="E242" s="64"/>
      <c r="F242" s="64"/>
      <c r="G242" s="185"/>
      <c r="H242" s="64"/>
      <c r="I242" s="67" t="s">
        <v>442</v>
      </c>
      <c r="J242" s="68">
        <v>60</v>
      </c>
      <c r="K242" s="178"/>
      <c r="L242" s="243"/>
      <c r="M242" s="70" t="s">
        <v>486</v>
      </c>
      <c r="N242" s="267"/>
      <c r="O242" s="268"/>
      <c r="P242" s="68" t="s">
        <v>714</v>
      </c>
      <c r="Q242" s="67" t="s">
        <v>715</v>
      </c>
      <c r="R242" s="71" t="s">
        <v>488</v>
      </c>
      <c r="S242" s="72">
        <f t="shared" si="16"/>
        <v>0</v>
      </c>
      <c r="T242" s="72">
        <f t="shared" si="13"/>
        <v>0</v>
      </c>
      <c r="U242" s="96">
        <v>0</v>
      </c>
      <c r="V242" s="97">
        <v>0</v>
      </c>
    </row>
    <row r="243" spans="1:22" s="46" customFormat="1" ht="18" customHeight="1" x14ac:dyDescent="0.25">
      <c r="A243" s="743"/>
      <c r="B243" s="756"/>
      <c r="C243" s="728"/>
      <c r="D243" s="740"/>
      <c r="E243" s="76"/>
      <c r="F243" s="76"/>
      <c r="G243" s="186"/>
      <c r="H243" s="76"/>
      <c r="I243" s="79" t="s">
        <v>292</v>
      </c>
      <c r="J243" s="80">
        <v>250</v>
      </c>
      <c r="K243" s="81"/>
      <c r="L243" s="230"/>
      <c r="M243" s="83" t="s">
        <v>486</v>
      </c>
      <c r="N243" s="80">
        <v>141</v>
      </c>
      <c r="O243" s="79">
        <v>7</v>
      </c>
      <c r="P243" s="80" t="s">
        <v>714</v>
      </c>
      <c r="Q243" s="79" t="s">
        <v>530</v>
      </c>
      <c r="R243" s="85" t="s">
        <v>488</v>
      </c>
      <c r="S243" s="72">
        <f t="shared" si="16"/>
        <v>47</v>
      </c>
      <c r="T243" s="72">
        <f t="shared" si="13"/>
        <v>16</v>
      </c>
      <c r="U243" s="72">
        <f t="shared" si="14"/>
        <v>2</v>
      </c>
      <c r="V243" s="86">
        <f t="shared" si="15"/>
        <v>1</v>
      </c>
    </row>
    <row r="244" spans="1:22" s="46" customFormat="1" ht="18" customHeight="1" x14ac:dyDescent="0.25">
      <c r="A244" s="743"/>
      <c r="B244" s="756"/>
      <c r="C244" s="728"/>
      <c r="D244" s="740"/>
      <c r="E244" s="76"/>
      <c r="F244" s="76"/>
      <c r="G244" s="186"/>
      <c r="H244" s="76"/>
      <c r="I244" s="79" t="s">
        <v>293</v>
      </c>
      <c r="J244" s="80">
        <v>160</v>
      </c>
      <c r="K244" s="81"/>
      <c r="L244" s="230"/>
      <c r="M244" s="83" t="s">
        <v>486</v>
      </c>
      <c r="N244" s="80">
        <v>105</v>
      </c>
      <c r="O244" s="79">
        <v>0</v>
      </c>
      <c r="P244" s="80" t="s">
        <v>714</v>
      </c>
      <c r="Q244" s="79"/>
      <c r="R244" s="85" t="s">
        <v>488</v>
      </c>
      <c r="S244" s="72">
        <f t="shared" si="16"/>
        <v>35</v>
      </c>
      <c r="T244" s="72">
        <f t="shared" si="13"/>
        <v>12</v>
      </c>
      <c r="U244" s="72">
        <f t="shared" si="14"/>
        <v>0</v>
      </c>
      <c r="V244" s="86">
        <f t="shared" si="15"/>
        <v>0</v>
      </c>
    </row>
    <row r="245" spans="1:22" s="46" customFormat="1" ht="18" customHeight="1" x14ac:dyDescent="0.25">
      <c r="A245" s="743"/>
      <c r="B245" s="756"/>
      <c r="C245" s="728"/>
      <c r="D245" s="740"/>
      <c r="E245" s="76"/>
      <c r="F245" s="76"/>
      <c r="G245" s="186"/>
      <c r="H245" s="76"/>
      <c r="I245" s="79" t="s">
        <v>345</v>
      </c>
      <c r="J245" s="80">
        <v>160</v>
      </c>
      <c r="K245" s="81"/>
      <c r="L245" s="230"/>
      <c r="M245" s="83" t="s">
        <v>486</v>
      </c>
      <c r="N245" s="80">
        <v>72</v>
      </c>
      <c r="O245" s="79">
        <v>4</v>
      </c>
      <c r="P245" s="80" t="s">
        <v>716</v>
      </c>
      <c r="Q245" s="79"/>
      <c r="R245" s="85" t="s">
        <v>488</v>
      </c>
      <c r="S245" s="72">
        <f t="shared" si="16"/>
        <v>24</v>
      </c>
      <c r="T245" s="72">
        <f t="shared" si="13"/>
        <v>8</v>
      </c>
      <c r="U245" s="72">
        <f t="shared" si="14"/>
        <v>1</v>
      </c>
      <c r="V245" s="86">
        <f t="shared" si="15"/>
        <v>0</v>
      </c>
    </row>
    <row r="246" spans="1:22" s="46" customFormat="1" ht="18" customHeight="1" x14ac:dyDescent="0.25">
      <c r="A246" s="743"/>
      <c r="B246" s="756"/>
      <c r="C246" s="728"/>
      <c r="D246" s="740"/>
      <c r="E246" s="76"/>
      <c r="F246" s="76"/>
      <c r="G246" s="186"/>
      <c r="H246" s="76"/>
      <c r="I246" s="79" t="s">
        <v>291</v>
      </c>
      <c r="J246" s="80">
        <v>160</v>
      </c>
      <c r="K246" s="81"/>
      <c r="L246" s="230"/>
      <c r="M246" s="83" t="s">
        <v>486</v>
      </c>
      <c r="N246" s="80">
        <v>52</v>
      </c>
      <c r="O246" s="79">
        <v>0</v>
      </c>
      <c r="P246" s="80" t="s">
        <v>716</v>
      </c>
      <c r="Q246" s="79"/>
      <c r="R246" s="85" t="s">
        <v>488</v>
      </c>
      <c r="S246" s="72">
        <f t="shared" si="16"/>
        <v>17</v>
      </c>
      <c r="T246" s="72">
        <f t="shared" si="13"/>
        <v>6</v>
      </c>
      <c r="U246" s="72">
        <f t="shared" si="14"/>
        <v>0</v>
      </c>
      <c r="V246" s="86">
        <f t="shared" si="15"/>
        <v>0</v>
      </c>
    </row>
    <row r="247" spans="1:22" s="46" customFormat="1" ht="18" customHeight="1" x14ac:dyDescent="0.25">
      <c r="A247" s="743"/>
      <c r="B247" s="756"/>
      <c r="C247" s="728"/>
      <c r="D247" s="740"/>
      <c r="E247" s="76"/>
      <c r="F247" s="76"/>
      <c r="G247" s="186"/>
      <c r="H247" s="76"/>
      <c r="I247" s="79" t="s">
        <v>717</v>
      </c>
      <c r="J247" s="80">
        <v>25</v>
      </c>
      <c r="K247" s="81"/>
      <c r="L247" s="230"/>
      <c r="M247" s="83" t="s">
        <v>486</v>
      </c>
      <c r="N247" s="80">
        <v>0</v>
      </c>
      <c r="O247" s="79">
        <v>1</v>
      </c>
      <c r="P247" s="80" t="s">
        <v>716</v>
      </c>
      <c r="Q247" s="79" t="s">
        <v>710</v>
      </c>
      <c r="R247" s="85" t="s">
        <v>488</v>
      </c>
      <c r="S247" s="72">
        <f t="shared" si="16"/>
        <v>0</v>
      </c>
      <c r="T247" s="72">
        <f t="shared" si="13"/>
        <v>0</v>
      </c>
      <c r="U247" s="189">
        <v>1</v>
      </c>
      <c r="V247" s="297">
        <v>1</v>
      </c>
    </row>
    <row r="248" spans="1:22" s="46" customFormat="1" ht="18" customHeight="1" x14ac:dyDescent="0.25">
      <c r="A248" s="743"/>
      <c r="B248" s="756"/>
      <c r="C248" s="728"/>
      <c r="D248" s="740"/>
      <c r="E248" s="76"/>
      <c r="F248" s="346"/>
      <c r="G248" s="186"/>
      <c r="H248" s="76"/>
      <c r="I248" s="79" t="s">
        <v>307</v>
      </c>
      <c r="J248" s="80">
        <v>100</v>
      </c>
      <c r="K248" s="81"/>
      <c r="L248" s="230"/>
      <c r="M248" s="83" t="s">
        <v>486</v>
      </c>
      <c r="N248" s="80">
        <v>133</v>
      </c>
      <c r="O248" s="79">
        <v>3</v>
      </c>
      <c r="P248" s="80" t="s">
        <v>625</v>
      </c>
      <c r="Q248" s="79"/>
      <c r="R248" s="85" t="s">
        <v>488</v>
      </c>
      <c r="S248" s="72">
        <f t="shared" si="16"/>
        <v>44</v>
      </c>
      <c r="T248" s="72">
        <f t="shared" si="13"/>
        <v>15</v>
      </c>
      <c r="U248" s="72">
        <f t="shared" si="14"/>
        <v>1</v>
      </c>
      <c r="V248" s="86">
        <f t="shared" si="15"/>
        <v>0</v>
      </c>
    </row>
    <row r="249" spans="1:22" s="46" customFormat="1" ht="18" customHeight="1" x14ac:dyDescent="0.25">
      <c r="A249" s="743"/>
      <c r="B249" s="756"/>
      <c r="C249" s="728"/>
      <c r="D249" s="740"/>
      <c r="E249" s="76"/>
      <c r="F249" s="346"/>
      <c r="G249" s="186"/>
      <c r="H249" s="76"/>
      <c r="I249" s="79" t="s">
        <v>718</v>
      </c>
      <c r="J249" s="80">
        <v>100</v>
      </c>
      <c r="K249" s="81"/>
      <c r="L249" s="230"/>
      <c r="M249" s="83" t="s">
        <v>486</v>
      </c>
      <c r="N249" s="93"/>
      <c r="O249" s="94"/>
      <c r="P249" s="80" t="s">
        <v>625</v>
      </c>
      <c r="Q249" s="79" t="s">
        <v>525</v>
      </c>
      <c r="R249" s="85" t="s">
        <v>488</v>
      </c>
      <c r="S249" s="72">
        <f t="shared" si="16"/>
        <v>0</v>
      </c>
      <c r="T249" s="72">
        <f t="shared" si="13"/>
        <v>0</v>
      </c>
      <c r="U249" s="96">
        <v>0</v>
      </c>
      <c r="V249" s="97">
        <v>0</v>
      </c>
    </row>
    <row r="250" spans="1:22" s="46" customFormat="1" ht="18" customHeight="1" x14ac:dyDescent="0.25">
      <c r="A250" s="743"/>
      <c r="B250" s="756"/>
      <c r="C250" s="728"/>
      <c r="D250" s="740"/>
      <c r="E250" s="76"/>
      <c r="F250" s="76"/>
      <c r="G250" s="186"/>
      <c r="H250" s="76"/>
      <c r="I250" s="79" t="s">
        <v>429</v>
      </c>
      <c r="J250" s="80">
        <v>100</v>
      </c>
      <c r="K250" s="81"/>
      <c r="L250" s="230"/>
      <c r="M250" s="83" t="s">
        <v>486</v>
      </c>
      <c r="N250" s="80">
        <v>17</v>
      </c>
      <c r="O250" s="79">
        <v>6</v>
      </c>
      <c r="P250" s="80" t="s">
        <v>625</v>
      </c>
      <c r="Q250" s="79" t="s">
        <v>530</v>
      </c>
      <c r="R250" s="85" t="s">
        <v>488</v>
      </c>
      <c r="S250" s="72">
        <f t="shared" si="16"/>
        <v>6</v>
      </c>
      <c r="T250" s="72">
        <f t="shared" si="13"/>
        <v>2</v>
      </c>
      <c r="U250" s="72">
        <f t="shared" si="14"/>
        <v>2</v>
      </c>
      <c r="V250" s="86">
        <f t="shared" si="15"/>
        <v>1</v>
      </c>
    </row>
    <row r="251" spans="1:22" s="46" customFormat="1" ht="18" customHeight="1" x14ac:dyDescent="0.25">
      <c r="A251" s="743"/>
      <c r="B251" s="756"/>
      <c r="C251" s="728"/>
      <c r="D251" s="740"/>
      <c r="E251" s="76"/>
      <c r="F251" s="76"/>
      <c r="G251" s="186"/>
      <c r="H251" s="76"/>
      <c r="I251" s="88" t="s">
        <v>719</v>
      </c>
      <c r="J251" s="89">
        <v>25</v>
      </c>
      <c r="K251" s="90"/>
      <c r="L251" s="229"/>
      <c r="M251" s="92" t="s">
        <v>486</v>
      </c>
      <c r="N251" s="89">
        <v>0</v>
      </c>
      <c r="O251" s="88">
        <v>1</v>
      </c>
      <c r="P251" s="89" t="s">
        <v>625</v>
      </c>
      <c r="Q251" s="88"/>
      <c r="R251" s="95" t="s">
        <v>449</v>
      </c>
      <c r="S251" s="72">
        <f t="shared" si="16"/>
        <v>0</v>
      </c>
      <c r="T251" s="72">
        <f t="shared" si="13"/>
        <v>0</v>
      </c>
      <c r="U251" s="244">
        <v>1</v>
      </c>
      <c r="V251" s="188">
        <v>1</v>
      </c>
    </row>
    <row r="252" spans="1:22" s="46" customFormat="1" ht="18" customHeight="1" x14ac:dyDescent="0.25">
      <c r="A252" s="743"/>
      <c r="B252" s="756"/>
      <c r="C252" s="728"/>
      <c r="D252" s="740"/>
      <c r="E252" s="76"/>
      <c r="F252" s="76"/>
      <c r="G252" s="186"/>
      <c r="H252" s="76"/>
      <c r="I252" s="79" t="s">
        <v>308</v>
      </c>
      <c r="J252" s="80">
        <v>60</v>
      </c>
      <c r="K252" s="81"/>
      <c r="L252" s="230"/>
      <c r="M252" s="83" t="s">
        <v>486</v>
      </c>
      <c r="N252" s="80">
        <v>0</v>
      </c>
      <c r="O252" s="79">
        <v>3</v>
      </c>
      <c r="P252" s="80" t="s">
        <v>625</v>
      </c>
      <c r="Q252" s="79" t="s">
        <v>720</v>
      </c>
      <c r="R252" s="85" t="s">
        <v>488</v>
      </c>
      <c r="S252" s="72">
        <f t="shared" si="16"/>
        <v>0</v>
      </c>
      <c r="T252" s="72">
        <f t="shared" si="13"/>
        <v>0</v>
      </c>
      <c r="U252" s="189">
        <v>3</v>
      </c>
      <c r="V252" s="297">
        <v>3</v>
      </c>
    </row>
    <row r="253" spans="1:22" s="46" customFormat="1" ht="18" customHeight="1" thickBot="1" x14ac:dyDescent="0.3">
      <c r="A253" s="744"/>
      <c r="B253" s="757"/>
      <c r="C253" s="759"/>
      <c r="D253" s="741"/>
      <c r="E253" s="190"/>
      <c r="F253" s="190"/>
      <c r="G253" s="191"/>
      <c r="H253" s="190"/>
      <c r="I253" s="192" t="s">
        <v>721</v>
      </c>
      <c r="J253" s="193">
        <v>60</v>
      </c>
      <c r="K253" s="194"/>
      <c r="L253" s="303"/>
      <c r="M253" s="196" t="s">
        <v>486</v>
      </c>
      <c r="N253" s="193">
        <v>24</v>
      </c>
      <c r="O253" s="192">
        <v>0</v>
      </c>
      <c r="P253" s="193" t="s">
        <v>625</v>
      </c>
      <c r="Q253" s="304" t="s">
        <v>722</v>
      </c>
      <c r="R253" s="198" t="s">
        <v>723</v>
      </c>
      <c r="S253" s="72">
        <f t="shared" si="16"/>
        <v>8</v>
      </c>
      <c r="T253" s="72">
        <f t="shared" si="13"/>
        <v>3</v>
      </c>
      <c r="U253" s="72">
        <f t="shared" si="14"/>
        <v>0</v>
      </c>
      <c r="V253" s="86">
        <f t="shared" si="15"/>
        <v>0</v>
      </c>
    </row>
    <row r="254" spans="1:22" s="46" customFormat="1" ht="18" customHeight="1" thickBot="1" x14ac:dyDescent="0.3">
      <c r="A254" s="742" t="s">
        <v>724</v>
      </c>
      <c r="B254" s="755" t="s">
        <v>484</v>
      </c>
      <c r="C254" s="56" t="s">
        <v>725</v>
      </c>
      <c r="D254" s="53"/>
      <c r="E254" s="47"/>
      <c r="F254" s="47"/>
      <c r="G254" s="48"/>
      <c r="H254" s="47"/>
      <c r="I254" s="347" t="s">
        <v>726</v>
      </c>
      <c r="J254" s="348">
        <v>1000</v>
      </c>
      <c r="K254" s="347">
        <v>1000</v>
      </c>
      <c r="L254" s="349"/>
      <c r="M254" s="350" t="s">
        <v>486</v>
      </c>
      <c r="N254" s="348">
        <v>0</v>
      </c>
      <c r="O254" s="347">
        <v>2</v>
      </c>
      <c r="P254" s="348" t="s">
        <v>727</v>
      </c>
      <c r="Q254" s="347" t="s">
        <v>728</v>
      </c>
      <c r="R254" s="351" t="s">
        <v>729</v>
      </c>
      <c r="S254" s="72">
        <f t="shared" si="16"/>
        <v>0</v>
      </c>
      <c r="T254" s="72">
        <f t="shared" si="13"/>
        <v>0</v>
      </c>
      <c r="U254" s="244">
        <v>2</v>
      </c>
      <c r="V254" s="188">
        <v>2</v>
      </c>
    </row>
    <row r="255" spans="1:22" s="46" customFormat="1" ht="18" customHeight="1" thickBot="1" x14ac:dyDescent="0.3">
      <c r="A255" s="743"/>
      <c r="B255" s="756"/>
      <c r="C255" s="56" t="s">
        <v>730</v>
      </c>
      <c r="D255" s="53"/>
      <c r="E255" s="47"/>
      <c r="F255" s="47"/>
      <c r="G255" s="48"/>
      <c r="H255" s="47"/>
      <c r="I255" s="347" t="s">
        <v>731</v>
      </c>
      <c r="J255" s="349"/>
      <c r="K255" s="352"/>
      <c r="L255" s="349"/>
      <c r="M255" s="350" t="s">
        <v>486</v>
      </c>
      <c r="N255" s="348">
        <v>0</v>
      </c>
      <c r="O255" s="347">
        <v>1</v>
      </c>
      <c r="P255" s="348" t="s">
        <v>732</v>
      </c>
      <c r="Q255" s="347" t="s">
        <v>733</v>
      </c>
      <c r="R255" s="351" t="s">
        <v>734</v>
      </c>
      <c r="S255" s="72">
        <f t="shared" si="16"/>
        <v>0</v>
      </c>
      <c r="T255" s="72">
        <f t="shared" si="13"/>
        <v>0</v>
      </c>
      <c r="U255" s="244">
        <v>1</v>
      </c>
      <c r="V255" s="188">
        <v>1</v>
      </c>
    </row>
    <row r="256" spans="1:22" s="46" customFormat="1" ht="18" customHeight="1" x14ac:dyDescent="0.25">
      <c r="A256" s="743"/>
      <c r="B256" s="756"/>
      <c r="C256" s="746" t="s">
        <v>735</v>
      </c>
      <c r="D256" s="750"/>
      <c r="E256" s="76"/>
      <c r="F256" s="76"/>
      <c r="G256" s="186"/>
      <c r="H256" s="76"/>
      <c r="I256" s="88" t="s">
        <v>736</v>
      </c>
      <c r="J256" s="91">
        <v>250</v>
      </c>
      <c r="K256" s="90"/>
      <c r="L256" s="229"/>
      <c r="M256" s="92" t="s">
        <v>486</v>
      </c>
      <c r="N256" s="89">
        <v>96</v>
      </c>
      <c r="O256" s="88">
        <v>13</v>
      </c>
      <c r="P256" s="89" t="s">
        <v>737</v>
      </c>
      <c r="Q256" s="88"/>
      <c r="R256" s="95" t="s">
        <v>738</v>
      </c>
      <c r="S256" s="72">
        <f t="shared" si="16"/>
        <v>32</v>
      </c>
      <c r="T256" s="72">
        <f t="shared" si="13"/>
        <v>11</v>
      </c>
      <c r="U256" s="72">
        <f t="shared" si="14"/>
        <v>4</v>
      </c>
      <c r="V256" s="86">
        <f t="shared" si="15"/>
        <v>1</v>
      </c>
    </row>
    <row r="257" spans="1:22" s="46" customFormat="1" ht="18" customHeight="1" thickBot="1" x14ac:dyDescent="0.3">
      <c r="A257" s="743"/>
      <c r="B257" s="756"/>
      <c r="C257" s="746"/>
      <c r="D257" s="750"/>
      <c r="E257" s="76"/>
      <c r="F257" s="76"/>
      <c r="G257" s="186"/>
      <c r="H257" s="76"/>
      <c r="I257" s="79" t="s">
        <v>106</v>
      </c>
      <c r="J257" s="82">
        <v>400</v>
      </c>
      <c r="K257" s="79">
        <v>400</v>
      </c>
      <c r="L257" s="230"/>
      <c r="M257" s="83" t="s">
        <v>486</v>
      </c>
      <c r="N257" s="80">
        <v>455</v>
      </c>
      <c r="O257" s="79">
        <v>4</v>
      </c>
      <c r="P257" s="80" t="s">
        <v>739</v>
      </c>
      <c r="Q257" s="79"/>
      <c r="R257" s="85" t="s">
        <v>488</v>
      </c>
      <c r="S257" s="72">
        <f>ROUND(N257/9,0)</f>
        <v>51</v>
      </c>
      <c r="T257" s="72">
        <f t="shared" si="13"/>
        <v>17</v>
      </c>
      <c r="U257" s="72">
        <f t="shared" si="14"/>
        <v>1</v>
      </c>
      <c r="V257" s="86">
        <f t="shared" si="15"/>
        <v>0</v>
      </c>
    </row>
    <row r="258" spans="1:22" s="46" customFormat="1" ht="18" customHeight="1" thickBot="1" x14ac:dyDescent="0.3">
      <c r="A258" s="743"/>
      <c r="B258" s="756"/>
      <c r="C258" s="56" t="s">
        <v>740</v>
      </c>
      <c r="D258" s="53"/>
      <c r="E258" s="47"/>
      <c r="F258" s="47"/>
      <c r="G258" s="48"/>
      <c r="H258" s="47"/>
      <c r="I258" s="55" t="s">
        <v>741</v>
      </c>
      <c r="J258" s="353">
        <v>630</v>
      </c>
      <c r="K258" s="354"/>
      <c r="L258" s="355"/>
      <c r="M258" s="58" t="s">
        <v>486</v>
      </c>
      <c r="N258" s="56">
        <v>0</v>
      </c>
      <c r="O258" s="55">
        <v>1</v>
      </c>
      <c r="P258" s="56" t="s">
        <v>742</v>
      </c>
      <c r="Q258" s="55" t="s">
        <v>733</v>
      </c>
      <c r="R258" s="53" t="s">
        <v>743</v>
      </c>
      <c r="S258" s="72">
        <f t="shared" si="16"/>
        <v>0</v>
      </c>
      <c r="T258" s="72">
        <f t="shared" si="13"/>
        <v>0</v>
      </c>
      <c r="U258" s="189">
        <v>1</v>
      </c>
      <c r="V258" s="297">
        <v>1</v>
      </c>
    </row>
    <row r="259" spans="1:22" s="46" customFormat="1" ht="18" customHeight="1" thickBot="1" x14ac:dyDescent="0.3">
      <c r="A259" s="743"/>
      <c r="B259" s="756"/>
      <c r="C259" s="356" t="s">
        <v>744</v>
      </c>
      <c r="D259" s="322"/>
      <c r="E259" s="133"/>
      <c r="F259" s="133"/>
      <c r="G259" s="135"/>
      <c r="H259" s="133"/>
      <c r="I259" s="225" t="s">
        <v>745</v>
      </c>
      <c r="J259" s="357"/>
      <c r="K259" s="358"/>
      <c r="L259" s="359"/>
      <c r="M259" s="105" t="s">
        <v>486</v>
      </c>
      <c r="N259" s="360"/>
      <c r="O259" s="361"/>
      <c r="P259" s="362" t="s">
        <v>742</v>
      </c>
      <c r="Q259" s="225" t="s">
        <v>746</v>
      </c>
      <c r="R259" s="363" t="s">
        <v>747</v>
      </c>
      <c r="S259" s="72">
        <f t="shared" si="16"/>
        <v>0</v>
      </c>
      <c r="T259" s="72">
        <f t="shared" si="13"/>
        <v>0</v>
      </c>
      <c r="U259" s="96">
        <v>0</v>
      </c>
      <c r="V259" s="97">
        <v>0</v>
      </c>
    </row>
    <row r="260" spans="1:22" s="46" customFormat="1" ht="18" customHeight="1" x14ac:dyDescent="0.25">
      <c r="A260" s="743"/>
      <c r="B260" s="756"/>
      <c r="C260" s="745" t="s">
        <v>748</v>
      </c>
      <c r="D260" s="749"/>
      <c r="E260" s="64"/>
      <c r="F260" s="64"/>
      <c r="G260" s="185"/>
      <c r="H260" s="64"/>
      <c r="I260" s="280" t="s">
        <v>749</v>
      </c>
      <c r="J260" s="275"/>
      <c r="K260" s="364"/>
      <c r="L260" s="277"/>
      <c r="M260" s="278"/>
      <c r="N260" s="267"/>
      <c r="O260" s="268"/>
      <c r="P260" s="275"/>
      <c r="Q260" s="274"/>
      <c r="R260" s="280"/>
      <c r="S260" s="72">
        <f t="shared" si="16"/>
        <v>0</v>
      </c>
      <c r="T260" s="72">
        <f t="shared" si="13"/>
        <v>0</v>
      </c>
      <c r="U260" s="96">
        <v>0</v>
      </c>
      <c r="V260" s="97">
        <v>0</v>
      </c>
    </row>
    <row r="261" spans="1:22" s="46" customFormat="1" ht="18" customHeight="1" x14ac:dyDescent="0.25">
      <c r="A261" s="743"/>
      <c r="B261" s="756"/>
      <c r="C261" s="746"/>
      <c r="D261" s="750"/>
      <c r="E261" s="146"/>
      <c r="F261" s="146"/>
      <c r="G261" s="217"/>
      <c r="H261" s="146"/>
      <c r="I261" s="365" t="s">
        <v>750</v>
      </c>
      <c r="J261" s="366">
        <v>63</v>
      </c>
      <c r="K261" s="367">
        <v>160.4</v>
      </c>
      <c r="L261" s="368"/>
      <c r="M261" s="369" t="s">
        <v>486</v>
      </c>
      <c r="N261" s="366">
        <v>0</v>
      </c>
      <c r="O261" s="365">
        <v>2</v>
      </c>
      <c r="P261" s="366" t="s">
        <v>751</v>
      </c>
      <c r="Q261" s="370"/>
      <c r="R261" s="371" t="s">
        <v>752</v>
      </c>
      <c r="S261" s="72">
        <f t="shared" si="16"/>
        <v>0</v>
      </c>
      <c r="T261" s="72">
        <f t="shared" si="13"/>
        <v>0</v>
      </c>
      <c r="U261" s="372">
        <v>2</v>
      </c>
      <c r="V261" s="373">
        <v>2</v>
      </c>
    </row>
    <row r="262" spans="1:22" s="46" customFormat="1" ht="18" customHeight="1" x14ac:dyDescent="0.25">
      <c r="A262" s="743"/>
      <c r="B262" s="756"/>
      <c r="C262" s="746"/>
      <c r="D262" s="750"/>
      <c r="E262" s="76"/>
      <c r="F262" s="76"/>
      <c r="G262" s="186"/>
      <c r="H262" s="76"/>
      <c r="I262" s="88" t="s">
        <v>753</v>
      </c>
      <c r="J262" s="89">
        <v>100</v>
      </c>
      <c r="K262" s="88">
        <v>400</v>
      </c>
      <c r="L262" s="229"/>
      <c r="M262" s="92" t="s">
        <v>486</v>
      </c>
      <c r="N262" s="89">
        <v>0</v>
      </c>
      <c r="O262" s="88">
        <v>1</v>
      </c>
      <c r="P262" s="89" t="s">
        <v>751</v>
      </c>
      <c r="Q262" s="88" t="s">
        <v>754</v>
      </c>
      <c r="R262" s="95" t="s">
        <v>570</v>
      </c>
      <c r="S262" s="72">
        <f t="shared" si="16"/>
        <v>0</v>
      </c>
      <c r="T262" s="72">
        <f t="shared" si="13"/>
        <v>0</v>
      </c>
      <c r="U262" s="244">
        <v>1</v>
      </c>
      <c r="V262" s="188">
        <v>1</v>
      </c>
    </row>
    <row r="263" spans="1:22" s="46" customFormat="1" ht="18" customHeight="1" x14ac:dyDescent="0.25">
      <c r="A263" s="743"/>
      <c r="B263" s="756"/>
      <c r="C263" s="746"/>
      <c r="D263" s="750"/>
      <c r="E263" s="76"/>
      <c r="F263" s="76"/>
      <c r="G263" s="186"/>
      <c r="H263" s="76"/>
      <c r="I263" s="88" t="s">
        <v>261</v>
      </c>
      <c r="J263" s="163">
        <v>400</v>
      </c>
      <c r="K263" s="88"/>
      <c r="L263" s="229"/>
      <c r="M263" s="92"/>
      <c r="N263" s="93"/>
      <c r="O263" s="94"/>
      <c r="P263" s="89"/>
      <c r="Q263" s="88"/>
      <c r="R263" s="248"/>
      <c r="S263" s="72">
        <f t="shared" si="16"/>
        <v>0</v>
      </c>
      <c r="T263" s="72">
        <f t="shared" si="13"/>
        <v>0</v>
      </c>
      <c r="U263" s="96">
        <v>0</v>
      </c>
      <c r="V263" s="97">
        <v>0</v>
      </c>
    </row>
    <row r="264" spans="1:22" s="46" customFormat="1" ht="18" customHeight="1" thickBot="1" x14ac:dyDescent="0.3">
      <c r="A264" s="743"/>
      <c r="B264" s="756"/>
      <c r="C264" s="746"/>
      <c r="D264" s="750"/>
      <c r="E264" s="76"/>
      <c r="F264" s="76"/>
      <c r="G264" s="186"/>
      <c r="H264" s="76"/>
      <c r="I264" s="88" t="s">
        <v>755</v>
      </c>
      <c r="J264" s="89">
        <v>100</v>
      </c>
      <c r="K264" s="88">
        <v>400</v>
      </c>
      <c r="L264" s="229"/>
      <c r="M264" s="92" t="s">
        <v>486</v>
      </c>
      <c r="N264" s="89">
        <v>0</v>
      </c>
      <c r="O264" s="88">
        <v>1</v>
      </c>
      <c r="P264" s="89" t="s">
        <v>756</v>
      </c>
      <c r="Q264" s="88" t="s">
        <v>757</v>
      </c>
      <c r="R264" s="95" t="s">
        <v>758</v>
      </c>
      <c r="S264" s="72">
        <f t="shared" si="16"/>
        <v>0</v>
      </c>
      <c r="T264" s="72">
        <f t="shared" si="13"/>
        <v>0</v>
      </c>
      <c r="U264" s="244">
        <v>1</v>
      </c>
      <c r="V264" s="188">
        <v>1</v>
      </c>
    </row>
    <row r="265" spans="1:22" s="46" customFormat="1" ht="18" customHeight="1" x14ac:dyDescent="0.25">
      <c r="A265" s="743"/>
      <c r="B265" s="756"/>
      <c r="C265" s="745" t="s">
        <v>759</v>
      </c>
      <c r="D265" s="749"/>
      <c r="E265" s="64"/>
      <c r="F265" s="64"/>
      <c r="G265" s="185"/>
      <c r="H265" s="64"/>
      <c r="I265" s="269" t="s">
        <v>760</v>
      </c>
      <c r="J265" s="374">
        <v>40</v>
      </c>
      <c r="K265" s="262"/>
      <c r="L265" s="265"/>
      <c r="M265" s="266"/>
      <c r="N265" s="267"/>
      <c r="O265" s="268"/>
      <c r="P265" s="263"/>
      <c r="Q265" s="262"/>
      <c r="R265" s="375"/>
      <c r="S265" s="72">
        <f t="shared" si="16"/>
        <v>0</v>
      </c>
      <c r="T265" s="72">
        <f t="shared" si="13"/>
        <v>0</v>
      </c>
      <c r="U265" s="96">
        <v>0</v>
      </c>
      <c r="V265" s="97">
        <v>0</v>
      </c>
    </row>
    <row r="266" spans="1:22" s="46" customFormat="1" ht="18" customHeight="1" x14ac:dyDescent="0.25">
      <c r="A266" s="743"/>
      <c r="B266" s="756"/>
      <c r="C266" s="746"/>
      <c r="D266" s="750"/>
      <c r="E266" s="146"/>
      <c r="F266" s="146"/>
      <c r="G266" s="217"/>
      <c r="H266" s="146"/>
      <c r="I266" s="219" t="s">
        <v>761</v>
      </c>
      <c r="J266" s="220">
        <v>100</v>
      </c>
      <c r="K266" s="219">
        <v>63</v>
      </c>
      <c r="L266" s="222"/>
      <c r="M266" s="92" t="s">
        <v>486</v>
      </c>
      <c r="N266" s="220">
        <v>0</v>
      </c>
      <c r="O266" s="219">
        <v>1</v>
      </c>
      <c r="P266" s="220" t="s">
        <v>737</v>
      </c>
      <c r="Q266" s="225" t="s">
        <v>762</v>
      </c>
      <c r="R266" s="226" t="s">
        <v>763</v>
      </c>
      <c r="S266" s="72">
        <f t="shared" si="16"/>
        <v>0</v>
      </c>
      <c r="T266" s="72">
        <f t="shared" ref="T266:T329" si="17">ROUND(S266/3,0)</f>
        <v>0</v>
      </c>
      <c r="U266" s="244">
        <v>1</v>
      </c>
      <c r="V266" s="188">
        <v>1</v>
      </c>
    </row>
    <row r="267" spans="1:22" s="46" customFormat="1" ht="18" customHeight="1" x14ac:dyDescent="0.25">
      <c r="A267" s="743"/>
      <c r="B267" s="756"/>
      <c r="C267" s="746"/>
      <c r="D267" s="750"/>
      <c r="E267" s="146"/>
      <c r="F267" s="146"/>
      <c r="G267" s="217"/>
      <c r="H267" s="146"/>
      <c r="I267" s="79" t="s">
        <v>191</v>
      </c>
      <c r="J267" s="376">
        <v>160</v>
      </c>
      <c r="K267" s="377"/>
      <c r="L267" s="378"/>
      <c r="M267" s="379"/>
      <c r="N267" s="376">
        <v>25</v>
      </c>
      <c r="O267" s="377">
        <v>0</v>
      </c>
      <c r="P267" s="376" t="s">
        <v>192</v>
      </c>
      <c r="Q267" s="380"/>
      <c r="R267" s="381"/>
      <c r="S267" s="72">
        <f t="shared" si="16"/>
        <v>8</v>
      </c>
      <c r="T267" s="72">
        <f t="shared" si="17"/>
        <v>3</v>
      </c>
      <c r="U267" s="72">
        <f t="shared" ref="U267:U330" si="18">ROUND(O267/3,0)</f>
        <v>0</v>
      </c>
      <c r="V267" s="86">
        <f t="shared" ref="V267:V330" si="19">ROUND(U267/3,0)</f>
        <v>0</v>
      </c>
    </row>
    <row r="268" spans="1:22" s="46" customFormat="1" ht="18" customHeight="1" x14ac:dyDescent="0.25">
      <c r="A268" s="743"/>
      <c r="B268" s="756"/>
      <c r="C268" s="746"/>
      <c r="D268" s="750"/>
      <c r="E268" s="146"/>
      <c r="F268" s="146"/>
      <c r="G268" s="217"/>
      <c r="H268" s="147"/>
      <c r="I268" s="106" t="s">
        <v>764</v>
      </c>
      <c r="J268" s="382">
        <v>63</v>
      </c>
      <c r="K268" s="383"/>
      <c r="L268" s="383"/>
      <c r="M268" s="107"/>
      <c r="N268" s="384"/>
      <c r="O268" s="384"/>
      <c r="P268" s="106"/>
      <c r="Q268" s="106"/>
      <c r="R268" s="385"/>
      <c r="S268" s="72">
        <f t="shared" si="16"/>
        <v>0</v>
      </c>
      <c r="T268" s="72">
        <f t="shared" si="17"/>
        <v>0</v>
      </c>
      <c r="U268" s="96">
        <v>0</v>
      </c>
      <c r="V268" s="97">
        <v>0</v>
      </c>
    </row>
    <row r="269" spans="1:22" s="46" customFormat="1" ht="18" customHeight="1" x14ac:dyDescent="0.25">
      <c r="A269" s="743"/>
      <c r="B269" s="756"/>
      <c r="C269" s="746"/>
      <c r="D269" s="750"/>
      <c r="E269" s="146"/>
      <c r="F269" s="146"/>
      <c r="G269" s="217"/>
      <c r="H269" s="147"/>
      <c r="I269" s="106" t="s">
        <v>765</v>
      </c>
      <c r="J269" s="382">
        <v>25</v>
      </c>
      <c r="K269" s="383"/>
      <c r="L269" s="383"/>
      <c r="M269" s="107"/>
      <c r="N269" s="384"/>
      <c r="O269" s="384"/>
      <c r="P269" s="106"/>
      <c r="Q269" s="106"/>
      <c r="R269" s="385"/>
      <c r="S269" s="72">
        <f t="shared" si="16"/>
        <v>0</v>
      </c>
      <c r="T269" s="72">
        <f t="shared" si="17"/>
        <v>0</v>
      </c>
      <c r="U269" s="96">
        <v>0</v>
      </c>
      <c r="V269" s="97">
        <v>0</v>
      </c>
    </row>
    <row r="270" spans="1:22" s="46" customFormat="1" ht="18" customHeight="1" x14ac:dyDescent="0.25">
      <c r="A270" s="743"/>
      <c r="B270" s="756"/>
      <c r="C270" s="746"/>
      <c r="D270" s="750"/>
      <c r="E270" s="76"/>
      <c r="F270" s="76"/>
      <c r="G270" s="186"/>
      <c r="H270" s="76"/>
      <c r="I270" s="79" t="s">
        <v>194</v>
      </c>
      <c r="J270" s="80">
        <v>250</v>
      </c>
      <c r="K270" s="81"/>
      <c r="L270" s="230"/>
      <c r="M270" s="83" t="s">
        <v>486</v>
      </c>
      <c r="N270" s="80">
        <v>0</v>
      </c>
      <c r="O270" s="79">
        <v>1</v>
      </c>
      <c r="P270" s="80" t="s">
        <v>192</v>
      </c>
      <c r="Q270" s="79" t="s">
        <v>641</v>
      </c>
      <c r="R270" s="85" t="s">
        <v>488</v>
      </c>
      <c r="S270" s="72">
        <f t="shared" si="16"/>
        <v>0</v>
      </c>
      <c r="T270" s="72">
        <f t="shared" si="17"/>
        <v>0</v>
      </c>
      <c r="U270" s="189">
        <v>1</v>
      </c>
      <c r="V270" s="297">
        <v>1</v>
      </c>
    </row>
    <row r="271" spans="1:22" s="46" customFormat="1" ht="18" customHeight="1" x14ac:dyDescent="0.25">
      <c r="A271" s="743"/>
      <c r="B271" s="756"/>
      <c r="C271" s="746"/>
      <c r="D271" s="750"/>
      <c r="E271" s="76"/>
      <c r="F271" s="76"/>
      <c r="G271" s="186"/>
      <c r="H271" s="76"/>
      <c r="I271" s="79" t="s">
        <v>766</v>
      </c>
      <c r="J271" s="80">
        <v>1600</v>
      </c>
      <c r="K271" s="81"/>
      <c r="L271" s="230"/>
      <c r="M271" s="83" t="s">
        <v>486</v>
      </c>
      <c r="N271" s="80">
        <v>0</v>
      </c>
      <c r="O271" s="79">
        <v>1</v>
      </c>
      <c r="P271" s="80" t="s">
        <v>192</v>
      </c>
      <c r="Q271" s="79" t="s">
        <v>641</v>
      </c>
      <c r="R271" s="85" t="s">
        <v>488</v>
      </c>
      <c r="S271" s="72">
        <f t="shared" si="16"/>
        <v>0</v>
      </c>
      <c r="T271" s="72">
        <f t="shared" si="17"/>
        <v>0</v>
      </c>
      <c r="U271" s="189">
        <v>1</v>
      </c>
      <c r="V271" s="297">
        <v>1</v>
      </c>
    </row>
    <row r="272" spans="1:22" s="46" customFormat="1" ht="18" customHeight="1" x14ac:dyDescent="0.25">
      <c r="A272" s="743"/>
      <c r="B272" s="756"/>
      <c r="C272" s="746"/>
      <c r="D272" s="750"/>
      <c r="E272" s="76"/>
      <c r="F272" s="76"/>
      <c r="G272" s="186"/>
      <c r="H272" s="76"/>
      <c r="I272" s="79" t="s">
        <v>183</v>
      </c>
      <c r="J272" s="80">
        <v>160</v>
      </c>
      <c r="K272" s="81"/>
      <c r="L272" s="230"/>
      <c r="M272" s="83" t="s">
        <v>486</v>
      </c>
      <c r="N272" s="80">
        <v>0</v>
      </c>
      <c r="O272" s="79">
        <v>3</v>
      </c>
      <c r="P272" s="80" t="s">
        <v>192</v>
      </c>
      <c r="Q272" s="79" t="s">
        <v>767</v>
      </c>
      <c r="R272" s="85" t="s">
        <v>488</v>
      </c>
      <c r="S272" s="72">
        <f t="shared" si="16"/>
        <v>0</v>
      </c>
      <c r="T272" s="72">
        <f t="shared" si="17"/>
        <v>0</v>
      </c>
      <c r="U272" s="189">
        <v>3</v>
      </c>
      <c r="V272" s="297">
        <v>3</v>
      </c>
    </row>
    <row r="273" spans="1:22" s="46" customFormat="1" ht="18" customHeight="1" x14ac:dyDescent="0.25">
      <c r="A273" s="743"/>
      <c r="B273" s="756"/>
      <c r="C273" s="746"/>
      <c r="D273" s="750"/>
      <c r="E273" s="76"/>
      <c r="F273" s="76"/>
      <c r="G273" s="186"/>
      <c r="H273" s="76"/>
      <c r="I273" s="79" t="s">
        <v>195</v>
      </c>
      <c r="J273" s="80">
        <v>1000</v>
      </c>
      <c r="K273" s="81"/>
      <c r="L273" s="230"/>
      <c r="M273" s="83" t="s">
        <v>486</v>
      </c>
      <c r="N273" s="80">
        <v>0</v>
      </c>
      <c r="O273" s="79">
        <v>2</v>
      </c>
      <c r="P273" s="80" t="s">
        <v>192</v>
      </c>
      <c r="Q273" s="79" t="s">
        <v>641</v>
      </c>
      <c r="R273" s="85" t="s">
        <v>488</v>
      </c>
      <c r="S273" s="72">
        <f t="shared" si="16"/>
        <v>0</v>
      </c>
      <c r="T273" s="72">
        <f t="shared" si="17"/>
        <v>0</v>
      </c>
      <c r="U273" s="189">
        <v>2</v>
      </c>
      <c r="V273" s="297">
        <v>2</v>
      </c>
    </row>
    <row r="274" spans="1:22" s="46" customFormat="1" ht="18" customHeight="1" x14ac:dyDescent="0.25">
      <c r="A274" s="743"/>
      <c r="B274" s="756"/>
      <c r="C274" s="746"/>
      <c r="D274" s="750"/>
      <c r="E274" s="76"/>
      <c r="F274" s="76"/>
      <c r="G274" s="186"/>
      <c r="H274" s="76"/>
      <c r="I274" s="79" t="s">
        <v>768</v>
      </c>
      <c r="J274" s="80">
        <v>40</v>
      </c>
      <c r="K274" s="81"/>
      <c r="L274" s="230"/>
      <c r="M274" s="83" t="s">
        <v>486</v>
      </c>
      <c r="N274" s="80">
        <v>0</v>
      </c>
      <c r="O274" s="79">
        <v>1</v>
      </c>
      <c r="P274" s="80" t="s">
        <v>192</v>
      </c>
      <c r="Q274" s="79" t="s">
        <v>641</v>
      </c>
      <c r="R274" s="85" t="s">
        <v>488</v>
      </c>
      <c r="S274" s="72">
        <f t="shared" si="16"/>
        <v>0</v>
      </c>
      <c r="T274" s="72">
        <f t="shared" si="17"/>
        <v>0</v>
      </c>
      <c r="U274" s="189">
        <v>1</v>
      </c>
      <c r="V274" s="297">
        <v>1</v>
      </c>
    </row>
    <row r="275" spans="1:22" s="46" customFormat="1" ht="18" customHeight="1" x14ac:dyDescent="0.25">
      <c r="A275" s="743"/>
      <c r="B275" s="756"/>
      <c r="C275" s="746"/>
      <c r="D275" s="750"/>
      <c r="E275" s="76"/>
      <c r="F275" s="76"/>
      <c r="G275" s="186"/>
      <c r="H275" s="76"/>
      <c r="I275" s="88" t="s">
        <v>769</v>
      </c>
      <c r="J275" s="89">
        <v>160</v>
      </c>
      <c r="K275" s="90"/>
      <c r="L275" s="229"/>
      <c r="M275" s="92" t="s">
        <v>486</v>
      </c>
      <c r="N275" s="89">
        <v>0</v>
      </c>
      <c r="O275" s="88">
        <v>1</v>
      </c>
      <c r="P275" s="89" t="s">
        <v>192</v>
      </c>
      <c r="Q275" s="88" t="s">
        <v>770</v>
      </c>
      <c r="R275" s="95" t="s">
        <v>541</v>
      </c>
      <c r="S275" s="72">
        <f t="shared" si="16"/>
        <v>0</v>
      </c>
      <c r="T275" s="72">
        <f t="shared" si="17"/>
        <v>0</v>
      </c>
      <c r="U275" s="244">
        <v>1</v>
      </c>
      <c r="V275" s="188">
        <v>1</v>
      </c>
    </row>
    <row r="276" spans="1:22" s="46" customFormat="1" ht="18" customHeight="1" x14ac:dyDescent="0.25">
      <c r="A276" s="743"/>
      <c r="B276" s="756"/>
      <c r="C276" s="746"/>
      <c r="D276" s="750"/>
      <c r="E276" s="76"/>
      <c r="F276" s="76"/>
      <c r="G276" s="186"/>
      <c r="H276" s="76"/>
      <c r="I276" s="88" t="s">
        <v>771</v>
      </c>
      <c r="J276" s="89">
        <v>63</v>
      </c>
      <c r="K276" s="90"/>
      <c r="L276" s="229"/>
      <c r="M276" s="92" t="s">
        <v>486</v>
      </c>
      <c r="N276" s="89">
        <v>0</v>
      </c>
      <c r="O276" s="88">
        <v>2</v>
      </c>
      <c r="P276" s="89" t="s">
        <v>192</v>
      </c>
      <c r="Q276" s="88" t="s">
        <v>772</v>
      </c>
      <c r="R276" s="95" t="s">
        <v>773</v>
      </c>
      <c r="S276" s="72">
        <f t="shared" si="16"/>
        <v>0</v>
      </c>
      <c r="T276" s="72">
        <f t="shared" si="17"/>
        <v>0</v>
      </c>
      <c r="U276" s="244">
        <v>2</v>
      </c>
      <c r="V276" s="188">
        <v>2</v>
      </c>
    </row>
    <row r="277" spans="1:22" s="46" customFormat="1" ht="18" customHeight="1" x14ac:dyDescent="0.25">
      <c r="A277" s="743"/>
      <c r="B277" s="756"/>
      <c r="C277" s="746"/>
      <c r="D277" s="750"/>
      <c r="E277" s="76"/>
      <c r="F277" s="76"/>
      <c r="G277" s="186"/>
      <c r="H277" s="76"/>
      <c r="I277" s="88" t="s">
        <v>774</v>
      </c>
      <c r="J277" s="89">
        <v>50</v>
      </c>
      <c r="K277" s="90"/>
      <c r="L277" s="229"/>
      <c r="M277" s="92" t="s">
        <v>486</v>
      </c>
      <c r="N277" s="89">
        <v>0</v>
      </c>
      <c r="O277" s="88">
        <v>3</v>
      </c>
      <c r="P277" s="89" t="s">
        <v>775</v>
      </c>
      <c r="Q277" s="88" t="s">
        <v>733</v>
      </c>
      <c r="R277" s="95" t="s">
        <v>776</v>
      </c>
      <c r="S277" s="72">
        <f t="shared" ref="S277:S340" si="20">ROUND(N277/3,0)</f>
        <v>0</v>
      </c>
      <c r="T277" s="72">
        <f t="shared" si="17"/>
        <v>0</v>
      </c>
      <c r="U277" s="244">
        <v>3</v>
      </c>
      <c r="V277" s="188">
        <v>3</v>
      </c>
    </row>
    <row r="278" spans="1:22" s="46" customFormat="1" ht="18" customHeight="1" thickBot="1" x14ac:dyDescent="0.3">
      <c r="A278" s="743"/>
      <c r="B278" s="756"/>
      <c r="C278" s="773"/>
      <c r="D278" s="754"/>
      <c r="E278" s="190"/>
      <c r="F278" s="190"/>
      <c r="G278" s="191"/>
      <c r="H278" s="190"/>
      <c r="I278" s="192" t="s">
        <v>777</v>
      </c>
      <c r="J278" s="193">
        <v>40</v>
      </c>
      <c r="K278" s="194"/>
      <c r="L278" s="303"/>
      <c r="M278" s="196" t="s">
        <v>486</v>
      </c>
      <c r="N278" s="193">
        <v>0</v>
      </c>
      <c r="O278" s="192">
        <v>1</v>
      </c>
      <c r="P278" s="193" t="s">
        <v>775</v>
      </c>
      <c r="Q278" s="304" t="s">
        <v>778</v>
      </c>
      <c r="R278" s="198" t="s">
        <v>779</v>
      </c>
      <c r="S278" s="72">
        <f t="shared" si="20"/>
        <v>0</v>
      </c>
      <c r="T278" s="72">
        <f t="shared" si="17"/>
        <v>0</v>
      </c>
      <c r="U278" s="244">
        <v>1</v>
      </c>
      <c r="V278" s="188">
        <v>1</v>
      </c>
    </row>
    <row r="279" spans="1:22" s="46" customFormat="1" ht="18" customHeight="1" thickBot="1" x14ac:dyDescent="0.3">
      <c r="A279" s="743"/>
      <c r="B279" s="756"/>
      <c r="C279" s="386" t="s">
        <v>780</v>
      </c>
      <c r="D279" s="387"/>
      <c r="E279" s="190"/>
      <c r="F279" s="190"/>
      <c r="G279" s="191"/>
      <c r="H279" s="190"/>
      <c r="I279" s="179" t="s">
        <v>96</v>
      </c>
      <c r="J279" s="180">
        <v>630</v>
      </c>
      <c r="K279" s="179">
        <v>630</v>
      </c>
      <c r="L279" s="238"/>
      <c r="M279" s="183" t="s">
        <v>486</v>
      </c>
      <c r="N279" s="180">
        <v>1035</v>
      </c>
      <c r="O279" s="179">
        <v>78</v>
      </c>
      <c r="P279" s="180" t="s">
        <v>781</v>
      </c>
      <c r="Q279" s="273"/>
      <c r="R279" s="184" t="s">
        <v>488</v>
      </c>
      <c r="S279" s="72">
        <f>ROUND(N279/18,0)</f>
        <v>58</v>
      </c>
      <c r="T279" s="72">
        <f t="shared" si="17"/>
        <v>19</v>
      </c>
      <c r="U279" s="72">
        <f t="shared" si="18"/>
        <v>26</v>
      </c>
      <c r="V279" s="86">
        <f t="shared" si="19"/>
        <v>9</v>
      </c>
    </row>
    <row r="280" spans="1:22" s="46" customFormat="1" ht="18" customHeight="1" thickBot="1" x14ac:dyDescent="0.3">
      <c r="A280" s="743"/>
      <c r="B280" s="756"/>
      <c r="C280" s="356" t="s">
        <v>782</v>
      </c>
      <c r="D280" s="322"/>
      <c r="E280" s="133"/>
      <c r="F280" s="133"/>
      <c r="G280" s="135"/>
      <c r="H280" s="133"/>
      <c r="I280" s="225" t="s">
        <v>783</v>
      </c>
      <c r="J280" s="362">
        <v>630</v>
      </c>
      <c r="K280" s="225">
        <v>630</v>
      </c>
      <c r="L280" s="359"/>
      <c r="M280" s="105" t="s">
        <v>486</v>
      </c>
      <c r="N280" s="362">
        <v>0</v>
      </c>
      <c r="O280" s="225">
        <v>1</v>
      </c>
      <c r="P280" s="362" t="s">
        <v>784</v>
      </c>
      <c r="Q280" s="225" t="s">
        <v>785</v>
      </c>
      <c r="R280" s="363" t="s">
        <v>786</v>
      </c>
      <c r="S280" s="72">
        <f t="shared" si="20"/>
        <v>0</v>
      </c>
      <c r="T280" s="72">
        <f t="shared" si="17"/>
        <v>0</v>
      </c>
      <c r="U280" s="244">
        <v>1</v>
      </c>
      <c r="V280" s="188">
        <v>1</v>
      </c>
    </row>
    <row r="281" spans="1:22" s="46" customFormat="1" ht="18" customHeight="1" x14ac:dyDescent="0.25">
      <c r="A281" s="743"/>
      <c r="B281" s="756"/>
      <c r="C281" s="745" t="s">
        <v>787</v>
      </c>
      <c r="D281" s="749"/>
      <c r="E281" s="64"/>
      <c r="F281" s="64"/>
      <c r="G281" s="185"/>
      <c r="H281" s="64"/>
      <c r="I281" s="262" t="s">
        <v>788</v>
      </c>
      <c r="J281" s="263">
        <v>630</v>
      </c>
      <c r="K281" s="262">
        <v>630</v>
      </c>
      <c r="L281" s="265"/>
      <c r="M281" s="266" t="s">
        <v>486</v>
      </c>
      <c r="N281" s="263">
        <v>0</v>
      </c>
      <c r="O281" s="262">
        <v>2</v>
      </c>
      <c r="P281" s="263" t="s">
        <v>737</v>
      </c>
      <c r="Q281" s="301" t="s">
        <v>789</v>
      </c>
      <c r="R281" s="269" t="s">
        <v>790</v>
      </c>
      <c r="S281" s="72">
        <f t="shared" si="20"/>
        <v>0</v>
      </c>
      <c r="T281" s="72">
        <f t="shared" si="17"/>
        <v>0</v>
      </c>
      <c r="U281" s="244">
        <v>2</v>
      </c>
      <c r="V281" s="188">
        <v>2</v>
      </c>
    </row>
    <row r="282" spans="1:22" s="46" customFormat="1" ht="18" customHeight="1" x14ac:dyDescent="0.25">
      <c r="A282" s="743"/>
      <c r="B282" s="756"/>
      <c r="C282" s="746"/>
      <c r="D282" s="750"/>
      <c r="E282" s="76"/>
      <c r="F282" s="76"/>
      <c r="G282" s="186"/>
      <c r="H282" s="76"/>
      <c r="I282" s="79" t="s">
        <v>91</v>
      </c>
      <c r="J282" s="80">
        <v>400</v>
      </c>
      <c r="K282" s="79">
        <v>250</v>
      </c>
      <c r="L282" s="230"/>
      <c r="M282" s="83" t="s">
        <v>486</v>
      </c>
      <c r="N282" s="80">
        <v>226</v>
      </c>
      <c r="O282" s="79">
        <v>9</v>
      </c>
      <c r="P282" s="80" t="s">
        <v>791</v>
      </c>
      <c r="Q282" s="81"/>
      <c r="R282" s="85" t="s">
        <v>488</v>
      </c>
      <c r="S282" s="72">
        <f t="shared" si="20"/>
        <v>75</v>
      </c>
      <c r="T282" s="72">
        <f t="shared" si="17"/>
        <v>25</v>
      </c>
      <c r="U282" s="72">
        <f t="shared" si="18"/>
        <v>3</v>
      </c>
      <c r="V282" s="86">
        <f t="shared" si="19"/>
        <v>1</v>
      </c>
    </row>
    <row r="283" spans="1:22" s="46" customFormat="1" ht="18" customHeight="1" x14ac:dyDescent="0.25">
      <c r="A283" s="743"/>
      <c r="B283" s="756"/>
      <c r="C283" s="746"/>
      <c r="D283" s="750"/>
      <c r="E283" s="76"/>
      <c r="F283" s="76"/>
      <c r="G283" s="186"/>
      <c r="H283" s="76"/>
      <c r="I283" s="88" t="s">
        <v>792</v>
      </c>
      <c r="J283" s="89">
        <v>250</v>
      </c>
      <c r="K283" s="90"/>
      <c r="L283" s="229"/>
      <c r="M283" s="92" t="s">
        <v>486</v>
      </c>
      <c r="N283" s="89">
        <v>123</v>
      </c>
      <c r="O283" s="88">
        <v>28</v>
      </c>
      <c r="P283" s="89" t="s">
        <v>793</v>
      </c>
      <c r="Q283" s="88" t="s">
        <v>794</v>
      </c>
      <c r="R283" s="95" t="s">
        <v>794</v>
      </c>
      <c r="S283" s="72">
        <f t="shared" si="20"/>
        <v>41</v>
      </c>
      <c r="T283" s="72">
        <f t="shared" si="17"/>
        <v>14</v>
      </c>
      <c r="U283" s="72">
        <f t="shared" si="18"/>
        <v>9</v>
      </c>
      <c r="V283" s="86">
        <f t="shared" si="19"/>
        <v>3</v>
      </c>
    </row>
    <row r="284" spans="1:22" s="46" customFormat="1" ht="18" customHeight="1" x14ac:dyDescent="0.25">
      <c r="A284" s="743"/>
      <c r="B284" s="756"/>
      <c r="C284" s="746"/>
      <c r="D284" s="750"/>
      <c r="E284" s="76"/>
      <c r="F284" s="76"/>
      <c r="G284" s="186"/>
      <c r="H284" s="76"/>
      <c r="I284" s="79" t="s">
        <v>795</v>
      </c>
      <c r="J284" s="80">
        <v>630</v>
      </c>
      <c r="K284" s="79">
        <v>400</v>
      </c>
      <c r="L284" s="230"/>
      <c r="M284" s="83" t="s">
        <v>486</v>
      </c>
      <c r="N284" s="80">
        <v>420</v>
      </c>
      <c r="O284" s="79">
        <v>5</v>
      </c>
      <c r="P284" s="80" t="s">
        <v>793</v>
      </c>
      <c r="Q284" s="81"/>
      <c r="R284" s="85" t="s">
        <v>488</v>
      </c>
      <c r="S284" s="72">
        <f t="shared" si="20"/>
        <v>140</v>
      </c>
      <c r="T284" s="72">
        <f t="shared" si="17"/>
        <v>47</v>
      </c>
      <c r="U284" s="72">
        <f t="shared" si="18"/>
        <v>2</v>
      </c>
      <c r="V284" s="86">
        <f t="shared" si="19"/>
        <v>1</v>
      </c>
    </row>
    <row r="285" spans="1:22" s="46" customFormat="1" ht="18" customHeight="1" thickBot="1" x14ac:dyDescent="0.3">
      <c r="A285" s="743"/>
      <c r="B285" s="756"/>
      <c r="C285" s="746"/>
      <c r="D285" s="750"/>
      <c r="E285" s="98"/>
      <c r="F285" s="98"/>
      <c r="G285" s="232"/>
      <c r="H285" s="98"/>
      <c r="I285" s="179" t="s">
        <v>105</v>
      </c>
      <c r="J285" s="388">
        <v>630</v>
      </c>
      <c r="K285" s="208"/>
      <c r="L285" s="234"/>
      <c r="M285" s="212"/>
      <c r="N285" s="389"/>
      <c r="O285" s="390"/>
      <c r="P285" s="391"/>
      <c r="Q285" s="392"/>
      <c r="R285" s="385"/>
      <c r="S285" s="72">
        <f t="shared" si="20"/>
        <v>0</v>
      </c>
      <c r="T285" s="72">
        <f t="shared" si="17"/>
        <v>0</v>
      </c>
      <c r="U285" s="96">
        <v>0</v>
      </c>
      <c r="V285" s="97">
        <v>0</v>
      </c>
    </row>
    <row r="286" spans="1:22" s="46" customFormat="1" ht="18" customHeight="1" thickBot="1" x14ac:dyDescent="0.3">
      <c r="A286" s="743"/>
      <c r="B286" s="756"/>
      <c r="C286" s="773"/>
      <c r="D286" s="754"/>
      <c r="E286" s="190"/>
      <c r="F286" s="190"/>
      <c r="G286" s="191"/>
      <c r="H286" s="190"/>
      <c r="I286" s="179" t="s">
        <v>12</v>
      </c>
      <c r="J286" s="180">
        <v>630</v>
      </c>
      <c r="K286" s="179">
        <v>630</v>
      </c>
      <c r="L286" s="238"/>
      <c r="M286" s="183" t="s">
        <v>486</v>
      </c>
      <c r="N286" s="180">
        <v>792</v>
      </c>
      <c r="O286" s="179">
        <v>38</v>
      </c>
      <c r="P286" s="387" t="s">
        <v>796</v>
      </c>
      <c r="Q286" s="273"/>
      <c r="R286" s="393" t="s">
        <v>488</v>
      </c>
      <c r="S286" s="72">
        <f>ROUND(N286/12,0)</f>
        <v>66</v>
      </c>
      <c r="T286" s="72">
        <f t="shared" si="17"/>
        <v>22</v>
      </c>
      <c r="U286" s="72">
        <f t="shared" si="18"/>
        <v>13</v>
      </c>
      <c r="V286" s="86">
        <f t="shared" si="19"/>
        <v>4</v>
      </c>
    </row>
    <row r="287" spans="1:22" s="46" customFormat="1" ht="18" customHeight="1" thickBot="1" x14ac:dyDescent="0.3">
      <c r="A287" s="743"/>
      <c r="B287" s="756"/>
      <c r="C287" s="746" t="s">
        <v>797</v>
      </c>
      <c r="D287" s="750"/>
      <c r="E287" s="146"/>
      <c r="F287" s="146"/>
      <c r="G287" s="217"/>
      <c r="H287" s="751" t="s">
        <v>798</v>
      </c>
      <c r="I287" s="262" t="s">
        <v>799</v>
      </c>
      <c r="J287" s="263">
        <v>160</v>
      </c>
      <c r="K287" s="264"/>
      <c r="L287" s="265"/>
      <c r="M287" s="266" t="s">
        <v>486</v>
      </c>
      <c r="N287" s="267"/>
      <c r="O287" s="268"/>
      <c r="P287" s="263" t="s">
        <v>793</v>
      </c>
      <c r="Q287" s="264"/>
      <c r="R287" s="269" t="s">
        <v>529</v>
      </c>
      <c r="S287" s="72">
        <f t="shared" si="20"/>
        <v>0</v>
      </c>
      <c r="T287" s="72">
        <f t="shared" si="17"/>
        <v>0</v>
      </c>
      <c r="U287" s="96">
        <v>0</v>
      </c>
      <c r="V287" s="97">
        <v>0</v>
      </c>
    </row>
    <row r="288" spans="1:22" s="46" customFormat="1" ht="18" customHeight="1" thickBot="1" x14ac:dyDescent="0.3">
      <c r="A288" s="743"/>
      <c r="B288" s="756"/>
      <c r="C288" s="746"/>
      <c r="D288" s="750"/>
      <c r="E288" s="146"/>
      <c r="F288" s="146"/>
      <c r="G288" s="217"/>
      <c r="H288" s="753"/>
      <c r="I288" s="192" t="s">
        <v>800</v>
      </c>
      <c r="J288" s="394"/>
      <c r="K288" s="197"/>
      <c r="L288" s="395"/>
      <c r="M288" s="331"/>
      <c r="N288" s="394"/>
      <c r="O288" s="396"/>
      <c r="P288" s="263" t="s">
        <v>801</v>
      </c>
      <c r="Q288" s="197"/>
      <c r="R288" s="269" t="s">
        <v>529</v>
      </c>
      <c r="S288" s="72">
        <f t="shared" si="20"/>
        <v>0</v>
      </c>
      <c r="T288" s="72">
        <f t="shared" si="17"/>
        <v>0</v>
      </c>
      <c r="U288" s="96">
        <v>0</v>
      </c>
      <c r="V288" s="97">
        <v>0</v>
      </c>
    </row>
    <row r="289" spans="1:22" s="46" customFormat="1" ht="18" customHeight="1" x14ac:dyDescent="0.25">
      <c r="A289" s="743"/>
      <c r="B289" s="756"/>
      <c r="C289" s="746"/>
      <c r="D289" s="750"/>
      <c r="E289" s="146"/>
      <c r="F289" s="146"/>
      <c r="G289" s="217"/>
      <c r="H289" s="770" t="s">
        <v>802</v>
      </c>
      <c r="I289" s="397" t="s">
        <v>103</v>
      </c>
      <c r="J289" s="398">
        <v>250</v>
      </c>
      <c r="K289" s="149">
        <v>630</v>
      </c>
      <c r="L289" s="292"/>
      <c r="M289" s="83" t="s">
        <v>486</v>
      </c>
      <c r="N289" s="150">
        <v>1</v>
      </c>
      <c r="O289" s="149">
        <v>15</v>
      </c>
      <c r="P289" s="150" t="s">
        <v>803</v>
      </c>
      <c r="Q289" s="151"/>
      <c r="R289" s="123" t="s">
        <v>488</v>
      </c>
      <c r="S289" s="72">
        <f t="shared" si="20"/>
        <v>0</v>
      </c>
      <c r="T289" s="72">
        <f t="shared" si="17"/>
        <v>0</v>
      </c>
      <c r="U289" s="72">
        <f t="shared" si="18"/>
        <v>5</v>
      </c>
      <c r="V289" s="86">
        <f t="shared" si="19"/>
        <v>2</v>
      </c>
    </row>
    <row r="290" spans="1:22" s="46" customFormat="1" ht="18" customHeight="1" x14ac:dyDescent="0.25">
      <c r="A290" s="743"/>
      <c r="B290" s="756"/>
      <c r="C290" s="746"/>
      <c r="D290" s="750"/>
      <c r="E290" s="146"/>
      <c r="F290" s="146"/>
      <c r="G290" s="217"/>
      <c r="H290" s="770"/>
      <c r="I290" s="391" t="s">
        <v>88</v>
      </c>
      <c r="J290" s="399">
        <v>180</v>
      </c>
      <c r="K290" s="79">
        <v>180</v>
      </c>
      <c r="L290" s="230"/>
      <c r="M290" s="83" t="s">
        <v>486</v>
      </c>
      <c r="N290" s="80">
        <v>119</v>
      </c>
      <c r="O290" s="79">
        <v>19</v>
      </c>
      <c r="P290" s="80" t="s">
        <v>803</v>
      </c>
      <c r="Q290" s="81"/>
      <c r="R290" s="85" t="s">
        <v>488</v>
      </c>
      <c r="S290" s="72">
        <f t="shared" si="20"/>
        <v>40</v>
      </c>
      <c r="T290" s="72">
        <f t="shared" si="17"/>
        <v>13</v>
      </c>
      <c r="U290" s="72">
        <f t="shared" si="18"/>
        <v>6</v>
      </c>
      <c r="V290" s="86">
        <f t="shared" si="19"/>
        <v>2</v>
      </c>
    </row>
    <row r="291" spans="1:22" s="46" customFormat="1" ht="18" customHeight="1" thickBot="1" x14ac:dyDescent="0.3">
      <c r="A291" s="743"/>
      <c r="B291" s="756"/>
      <c r="C291" s="746"/>
      <c r="D291" s="750"/>
      <c r="E291" s="146"/>
      <c r="F291" s="146"/>
      <c r="G291" s="217"/>
      <c r="H291" s="771"/>
      <c r="I291" s="400" t="s">
        <v>97</v>
      </c>
      <c r="J291" s="401">
        <v>400</v>
      </c>
      <c r="K291" s="402">
        <v>400</v>
      </c>
      <c r="L291" s="403"/>
      <c r="M291" s="215" t="s">
        <v>486</v>
      </c>
      <c r="N291" s="387">
        <v>162</v>
      </c>
      <c r="O291" s="402">
        <v>44</v>
      </c>
      <c r="P291" s="387" t="s">
        <v>804</v>
      </c>
      <c r="Q291" s="273"/>
      <c r="R291" s="393" t="s">
        <v>488</v>
      </c>
      <c r="S291" s="72">
        <f t="shared" si="20"/>
        <v>54</v>
      </c>
      <c r="T291" s="72">
        <f t="shared" si="17"/>
        <v>18</v>
      </c>
      <c r="U291" s="72">
        <f t="shared" si="18"/>
        <v>15</v>
      </c>
      <c r="V291" s="86">
        <f t="shared" si="19"/>
        <v>5</v>
      </c>
    </row>
    <row r="292" spans="1:22" s="46" customFormat="1" ht="18" customHeight="1" x14ac:dyDescent="0.25">
      <c r="A292" s="743"/>
      <c r="B292" s="756"/>
      <c r="C292" s="746"/>
      <c r="D292" s="750"/>
      <c r="E292" s="146"/>
      <c r="F292" s="146"/>
      <c r="G292" s="217"/>
      <c r="H292" s="772" t="s">
        <v>805</v>
      </c>
      <c r="I292" s="149" t="s">
        <v>806</v>
      </c>
      <c r="J292" s="404"/>
      <c r="K292" s="81"/>
      <c r="L292" s="230"/>
      <c r="M292" s="83" t="s">
        <v>486</v>
      </c>
      <c r="N292" s="80">
        <v>0</v>
      </c>
      <c r="O292" s="79">
        <v>1</v>
      </c>
      <c r="P292" s="80" t="s">
        <v>807</v>
      </c>
      <c r="Q292" s="79" t="s">
        <v>808</v>
      </c>
      <c r="R292" s="85" t="s">
        <v>743</v>
      </c>
      <c r="S292" s="72">
        <f t="shared" si="20"/>
        <v>0</v>
      </c>
      <c r="T292" s="72">
        <f t="shared" si="17"/>
        <v>0</v>
      </c>
      <c r="U292" s="189">
        <v>1</v>
      </c>
      <c r="V292" s="297">
        <v>1</v>
      </c>
    </row>
    <row r="293" spans="1:22" s="46" customFormat="1" ht="18" customHeight="1" x14ac:dyDescent="0.25">
      <c r="A293" s="743"/>
      <c r="B293" s="756"/>
      <c r="C293" s="746"/>
      <c r="D293" s="750"/>
      <c r="E293" s="146"/>
      <c r="F293" s="146"/>
      <c r="G293" s="217"/>
      <c r="H293" s="770"/>
      <c r="I293" s="106" t="s">
        <v>809</v>
      </c>
      <c r="J293" s="405">
        <v>63</v>
      </c>
      <c r="K293" s="90"/>
      <c r="L293" s="229"/>
      <c r="M293" s="92" t="s">
        <v>486</v>
      </c>
      <c r="N293" s="89">
        <v>0</v>
      </c>
      <c r="O293" s="88">
        <v>1</v>
      </c>
      <c r="P293" s="89" t="s">
        <v>810</v>
      </c>
      <c r="Q293" s="88" t="s">
        <v>811</v>
      </c>
      <c r="R293" s="95" t="s">
        <v>812</v>
      </c>
      <c r="S293" s="72">
        <f t="shared" si="20"/>
        <v>0</v>
      </c>
      <c r="T293" s="72">
        <f t="shared" si="17"/>
        <v>0</v>
      </c>
      <c r="U293" s="244">
        <v>1</v>
      </c>
      <c r="V293" s="188">
        <v>1</v>
      </c>
    </row>
    <row r="294" spans="1:22" s="46" customFormat="1" ht="18" customHeight="1" x14ac:dyDescent="0.25">
      <c r="A294" s="743"/>
      <c r="B294" s="756"/>
      <c r="C294" s="746"/>
      <c r="D294" s="750"/>
      <c r="E294" s="146"/>
      <c r="F294" s="146"/>
      <c r="G294" s="217"/>
      <c r="H294" s="770"/>
      <c r="I294" s="391" t="s">
        <v>813</v>
      </c>
      <c r="J294" s="398">
        <v>400</v>
      </c>
      <c r="K294" s="149">
        <v>400</v>
      </c>
      <c r="L294" s="292"/>
      <c r="M294" s="83" t="s">
        <v>486</v>
      </c>
      <c r="N294" s="150">
        <v>324</v>
      </c>
      <c r="O294" s="149">
        <v>11</v>
      </c>
      <c r="P294" s="150" t="s">
        <v>814</v>
      </c>
      <c r="Q294" s="151"/>
      <c r="R294" s="123" t="s">
        <v>488</v>
      </c>
      <c r="S294" s="72">
        <f>ROUND(N294/12,0)</f>
        <v>27</v>
      </c>
      <c r="T294" s="72">
        <f t="shared" si="17"/>
        <v>9</v>
      </c>
      <c r="U294" s="72">
        <f t="shared" si="18"/>
        <v>4</v>
      </c>
      <c r="V294" s="86">
        <f t="shared" si="19"/>
        <v>1</v>
      </c>
    </row>
    <row r="295" spans="1:22" s="46" customFormat="1" ht="18" customHeight="1" thickBot="1" x14ac:dyDescent="0.3">
      <c r="A295" s="743"/>
      <c r="B295" s="756"/>
      <c r="C295" s="746"/>
      <c r="D295" s="750"/>
      <c r="E295" s="76"/>
      <c r="F295" s="76"/>
      <c r="G295" s="186"/>
      <c r="H295" s="771"/>
      <c r="I295" s="391" t="s">
        <v>815</v>
      </c>
      <c r="J295" s="399">
        <v>160</v>
      </c>
      <c r="K295" s="81"/>
      <c r="L295" s="230"/>
      <c r="M295" s="83" t="s">
        <v>486</v>
      </c>
      <c r="N295" s="80">
        <v>114</v>
      </c>
      <c r="O295" s="79">
        <v>4</v>
      </c>
      <c r="P295" s="80" t="s">
        <v>816</v>
      </c>
      <c r="Q295" s="81"/>
      <c r="R295" s="85" t="s">
        <v>488</v>
      </c>
      <c r="S295" s="72">
        <f t="shared" si="20"/>
        <v>38</v>
      </c>
      <c r="T295" s="72">
        <f t="shared" si="17"/>
        <v>13</v>
      </c>
      <c r="U295" s="72">
        <f t="shared" si="18"/>
        <v>1</v>
      </c>
      <c r="V295" s="86">
        <f t="shared" si="19"/>
        <v>0</v>
      </c>
    </row>
    <row r="296" spans="1:22" s="46" customFormat="1" ht="18" customHeight="1" x14ac:dyDescent="0.25">
      <c r="A296" s="743"/>
      <c r="B296" s="755" t="s">
        <v>699</v>
      </c>
      <c r="C296" s="745" t="s">
        <v>817</v>
      </c>
      <c r="D296" s="749"/>
      <c r="E296" s="64"/>
      <c r="F296" s="64"/>
      <c r="G296" s="185"/>
      <c r="H296" s="64"/>
      <c r="I296" s="149" t="s">
        <v>94</v>
      </c>
      <c r="J296" s="68">
        <v>630</v>
      </c>
      <c r="K296" s="67">
        <v>250</v>
      </c>
      <c r="L296" s="243"/>
      <c r="M296" s="70" t="s">
        <v>486</v>
      </c>
      <c r="N296" s="68">
        <v>0</v>
      </c>
      <c r="O296" s="67">
        <v>1</v>
      </c>
      <c r="P296" s="68" t="s">
        <v>739</v>
      </c>
      <c r="Q296" s="406" t="s">
        <v>818</v>
      </c>
      <c r="R296" s="71" t="s">
        <v>743</v>
      </c>
      <c r="S296" s="72">
        <f t="shared" si="20"/>
        <v>0</v>
      </c>
      <c r="T296" s="72">
        <f t="shared" si="17"/>
        <v>0</v>
      </c>
      <c r="U296" s="189">
        <v>1</v>
      </c>
      <c r="V296" s="297">
        <v>1</v>
      </c>
    </row>
    <row r="297" spans="1:22" s="46" customFormat="1" ht="18" customHeight="1" x14ac:dyDescent="0.25">
      <c r="A297" s="743"/>
      <c r="B297" s="756"/>
      <c r="C297" s="746"/>
      <c r="D297" s="750"/>
      <c r="E297" s="146"/>
      <c r="F297" s="146"/>
      <c r="G297" s="217"/>
      <c r="H297" s="146"/>
      <c r="I297" s="88" t="s">
        <v>819</v>
      </c>
      <c r="J297" s="89">
        <v>100</v>
      </c>
      <c r="K297" s="88" t="s">
        <v>820</v>
      </c>
      <c r="L297" s="229"/>
      <c r="M297" s="92" t="s">
        <v>486</v>
      </c>
      <c r="N297" s="89">
        <v>0</v>
      </c>
      <c r="O297" s="88">
        <v>1</v>
      </c>
      <c r="P297" s="89" t="s">
        <v>821</v>
      </c>
      <c r="Q297" s="88" t="s">
        <v>822</v>
      </c>
      <c r="R297" s="95" t="s">
        <v>823</v>
      </c>
      <c r="S297" s="72">
        <f t="shared" si="20"/>
        <v>0</v>
      </c>
      <c r="T297" s="72">
        <f t="shared" si="17"/>
        <v>0</v>
      </c>
      <c r="U297" s="244">
        <v>1</v>
      </c>
      <c r="V297" s="188">
        <v>1</v>
      </c>
    </row>
    <row r="298" spans="1:22" s="46" customFormat="1" ht="18" customHeight="1" x14ac:dyDescent="0.25">
      <c r="A298" s="743"/>
      <c r="B298" s="756"/>
      <c r="C298" s="746"/>
      <c r="D298" s="750"/>
      <c r="E298" s="146"/>
      <c r="F298" s="146"/>
      <c r="G298" s="217"/>
      <c r="H298" s="146"/>
      <c r="I298" s="88" t="s">
        <v>824</v>
      </c>
      <c r="J298" s="89">
        <v>100</v>
      </c>
      <c r="K298" s="90"/>
      <c r="L298" s="229"/>
      <c r="M298" s="92" t="s">
        <v>486</v>
      </c>
      <c r="N298" s="89">
        <v>0</v>
      </c>
      <c r="O298" s="88">
        <v>1</v>
      </c>
      <c r="P298" s="89" t="s">
        <v>825</v>
      </c>
      <c r="Q298" s="88" t="s">
        <v>826</v>
      </c>
      <c r="R298" s="95" t="s">
        <v>827</v>
      </c>
      <c r="S298" s="72">
        <f t="shared" si="20"/>
        <v>0</v>
      </c>
      <c r="T298" s="72">
        <f t="shared" si="17"/>
        <v>0</v>
      </c>
      <c r="U298" s="244">
        <v>1</v>
      </c>
      <c r="V298" s="188">
        <v>1</v>
      </c>
    </row>
    <row r="299" spans="1:22" s="46" customFormat="1" ht="18" customHeight="1" x14ac:dyDescent="0.25">
      <c r="A299" s="743"/>
      <c r="B299" s="756"/>
      <c r="C299" s="746"/>
      <c r="D299" s="750"/>
      <c r="E299" s="76"/>
      <c r="F299" s="76"/>
      <c r="G299" s="186"/>
      <c r="H299" s="76"/>
      <c r="I299" s="79" t="s">
        <v>102</v>
      </c>
      <c r="J299" s="80">
        <v>250</v>
      </c>
      <c r="K299" s="79">
        <v>400</v>
      </c>
      <c r="L299" s="230"/>
      <c r="M299" s="83" t="s">
        <v>486</v>
      </c>
      <c r="N299" s="80">
        <v>0</v>
      </c>
      <c r="O299" s="79">
        <v>7</v>
      </c>
      <c r="P299" s="80" t="s">
        <v>739</v>
      </c>
      <c r="Q299" s="81"/>
      <c r="R299" s="85" t="s">
        <v>488</v>
      </c>
      <c r="S299" s="72">
        <f t="shared" si="20"/>
        <v>0</v>
      </c>
      <c r="T299" s="72">
        <f t="shared" si="17"/>
        <v>0</v>
      </c>
      <c r="U299" s="189">
        <v>7</v>
      </c>
      <c r="V299" s="297">
        <v>7</v>
      </c>
    </row>
    <row r="300" spans="1:22" s="46" customFormat="1" ht="18" customHeight="1" x14ac:dyDescent="0.25">
      <c r="A300" s="743"/>
      <c r="B300" s="756"/>
      <c r="C300" s="746"/>
      <c r="D300" s="750"/>
      <c r="E300" s="76"/>
      <c r="F300" s="76"/>
      <c r="G300" s="186"/>
      <c r="H300" s="76"/>
      <c r="I300" s="79" t="s">
        <v>828</v>
      </c>
      <c r="J300" s="80">
        <v>250</v>
      </c>
      <c r="K300" s="79">
        <v>400</v>
      </c>
      <c r="L300" s="230"/>
      <c r="M300" s="83" t="s">
        <v>486</v>
      </c>
      <c r="N300" s="80">
        <v>0</v>
      </c>
      <c r="O300" s="79">
        <v>1</v>
      </c>
      <c r="P300" s="80" t="s">
        <v>727</v>
      </c>
      <c r="Q300" s="79" t="s">
        <v>829</v>
      </c>
      <c r="R300" s="85" t="s">
        <v>830</v>
      </c>
      <c r="S300" s="72">
        <f t="shared" si="20"/>
        <v>0</v>
      </c>
      <c r="T300" s="72">
        <f t="shared" si="17"/>
        <v>0</v>
      </c>
      <c r="U300" s="189">
        <v>1</v>
      </c>
      <c r="V300" s="297">
        <v>1</v>
      </c>
    </row>
    <row r="301" spans="1:22" s="46" customFormat="1" ht="18" customHeight="1" x14ac:dyDescent="0.25">
      <c r="A301" s="743"/>
      <c r="B301" s="756"/>
      <c r="C301" s="746"/>
      <c r="D301" s="750"/>
      <c r="E301" s="76"/>
      <c r="F301" s="76"/>
      <c r="G301" s="186"/>
      <c r="H301" s="76"/>
      <c r="I301" s="79" t="s">
        <v>831</v>
      </c>
      <c r="J301" s="251">
        <v>1000</v>
      </c>
      <c r="K301" s="79"/>
      <c r="L301" s="230"/>
      <c r="M301" s="83"/>
      <c r="N301" s="93"/>
      <c r="O301" s="94"/>
      <c r="P301" s="80"/>
      <c r="Q301" s="79"/>
      <c r="R301" s="248"/>
      <c r="S301" s="72">
        <f t="shared" si="20"/>
        <v>0</v>
      </c>
      <c r="T301" s="72">
        <f t="shared" si="17"/>
        <v>0</v>
      </c>
      <c r="U301" s="96">
        <v>0</v>
      </c>
      <c r="V301" s="97">
        <v>0</v>
      </c>
    </row>
    <row r="302" spans="1:22" s="46" customFormat="1" ht="18" customHeight="1" thickBot="1" x14ac:dyDescent="0.3">
      <c r="A302" s="743"/>
      <c r="B302" s="756"/>
      <c r="C302" s="773"/>
      <c r="D302" s="754"/>
      <c r="E302" s="190"/>
      <c r="F302" s="190"/>
      <c r="G302" s="191"/>
      <c r="H302" s="190"/>
      <c r="I302" s="192" t="s">
        <v>832</v>
      </c>
      <c r="J302" s="193">
        <v>1000</v>
      </c>
      <c r="K302" s="194"/>
      <c r="L302" s="303"/>
      <c r="M302" s="196" t="s">
        <v>486</v>
      </c>
      <c r="N302" s="193">
        <v>0</v>
      </c>
      <c r="O302" s="192">
        <v>1</v>
      </c>
      <c r="P302" s="193" t="s">
        <v>833</v>
      </c>
      <c r="Q302" s="192" t="s">
        <v>757</v>
      </c>
      <c r="R302" s="198" t="s">
        <v>834</v>
      </c>
      <c r="S302" s="72">
        <f t="shared" si="20"/>
        <v>0</v>
      </c>
      <c r="T302" s="72">
        <f t="shared" si="17"/>
        <v>0</v>
      </c>
      <c r="U302" s="244">
        <v>1</v>
      </c>
      <c r="V302" s="188">
        <v>1</v>
      </c>
    </row>
    <row r="303" spans="1:22" s="46" customFormat="1" ht="18" customHeight="1" thickBot="1" x14ac:dyDescent="0.3">
      <c r="A303" s="743"/>
      <c r="B303" s="756"/>
      <c r="C303" s="407" t="s">
        <v>835</v>
      </c>
      <c r="D303" s="408"/>
      <c r="E303" s="409"/>
      <c r="F303" s="409"/>
      <c r="G303" s="410"/>
      <c r="H303" s="409"/>
      <c r="I303" s="411" t="s">
        <v>110</v>
      </c>
      <c r="J303" s="407">
        <v>400</v>
      </c>
      <c r="K303" s="406">
        <v>400</v>
      </c>
      <c r="L303" s="412"/>
      <c r="M303" s="413" t="s">
        <v>486</v>
      </c>
      <c r="N303" s="407">
        <v>534</v>
      </c>
      <c r="O303" s="406">
        <v>18</v>
      </c>
      <c r="P303" s="407" t="s">
        <v>739</v>
      </c>
      <c r="Q303" s="199"/>
      <c r="R303" s="408" t="s">
        <v>488</v>
      </c>
      <c r="S303" s="72">
        <f>ROUND(N303/12,0)</f>
        <v>45</v>
      </c>
      <c r="T303" s="72">
        <f t="shared" si="17"/>
        <v>15</v>
      </c>
      <c r="U303" s="72">
        <f t="shared" si="18"/>
        <v>6</v>
      </c>
      <c r="V303" s="86">
        <f t="shared" si="19"/>
        <v>2</v>
      </c>
    </row>
    <row r="304" spans="1:22" s="46" customFormat="1" ht="18" customHeight="1" x14ac:dyDescent="0.25">
      <c r="A304" s="743"/>
      <c r="B304" s="777"/>
      <c r="C304" s="414"/>
      <c r="D304" s="415"/>
      <c r="E304" s="416"/>
      <c r="F304" s="416"/>
      <c r="G304" s="416"/>
      <c r="H304" s="416"/>
      <c r="I304" s="67" t="s">
        <v>836</v>
      </c>
      <c r="J304" s="68">
        <v>160</v>
      </c>
      <c r="K304" s="178"/>
      <c r="L304" s="243"/>
      <c r="M304" s="70" t="s">
        <v>486</v>
      </c>
      <c r="N304" s="68">
        <v>0</v>
      </c>
      <c r="O304" s="67">
        <v>3</v>
      </c>
      <c r="P304" s="68" t="s">
        <v>737</v>
      </c>
      <c r="Q304" s="406"/>
      <c r="R304" s="71" t="s">
        <v>488</v>
      </c>
      <c r="S304" s="72">
        <f t="shared" si="20"/>
        <v>0</v>
      </c>
      <c r="T304" s="72">
        <f t="shared" si="17"/>
        <v>0</v>
      </c>
      <c r="U304" s="189">
        <v>3</v>
      </c>
      <c r="V304" s="297">
        <v>3</v>
      </c>
    </row>
    <row r="305" spans="1:22" s="46" customFormat="1" ht="18" customHeight="1" x14ac:dyDescent="0.25">
      <c r="A305" s="743"/>
      <c r="B305" s="777"/>
      <c r="C305" s="417"/>
      <c r="D305" s="418"/>
      <c r="E305" s="419"/>
      <c r="F305" s="419"/>
      <c r="G305" s="419"/>
      <c r="H305" s="419"/>
      <c r="I305" s="208" t="s">
        <v>107</v>
      </c>
      <c r="J305" s="209">
        <v>630</v>
      </c>
      <c r="K305" s="208">
        <v>630</v>
      </c>
      <c r="L305" s="234"/>
      <c r="M305" s="320" t="s">
        <v>486</v>
      </c>
      <c r="N305" s="209">
        <v>720</v>
      </c>
      <c r="O305" s="208">
        <v>13</v>
      </c>
      <c r="P305" s="209" t="s">
        <v>837</v>
      </c>
      <c r="Q305" s="335"/>
      <c r="R305" s="213" t="s">
        <v>488</v>
      </c>
      <c r="S305" s="72">
        <f>ROUND(N305/18,0)</f>
        <v>40</v>
      </c>
      <c r="T305" s="72">
        <f t="shared" si="17"/>
        <v>13</v>
      </c>
      <c r="U305" s="72">
        <f t="shared" si="18"/>
        <v>4</v>
      </c>
      <c r="V305" s="86">
        <f t="shared" si="19"/>
        <v>1</v>
      </c>
    </row>
    <row r="306" spans="1:22" s="46" customFormat="1" ht="18" customHeight="1" thickBot="1" x14ac:dyDescent="0.3">
      <c r="A306" s="743"/>
      <c r="B306" s="777"/>
      <c r="C306" s="420" t="s">
        <v>838</v>
      </c>
      <c r="D306" s="421"/>
      <c r="E306" s="422"/>
      <c r="F306" s="422"/>
      <c r="G306" s="422"/>
      <c r="H306" s="422"/>
      <c r="I306" s="400" t="s">
        <v>86</v>
      </c>
      <c r="J306" s="400">
        <v>250</v>
      </c>
      <c r="K306" s="400">
        <v>160</v>
      </c>
      <c r="L306" s="423"/>
      <c r="M306" s="424" t="s">
        <v>486</v>
      </c>
      <c r="N306" s="400">
        <v>76</v>
      </c>
      <c r="O306" s="400">
        <v>7</v>
      </c>
      <c r="P306" s="400" t="s">
        <v>839</v>
      </c>
      <c r="Q306" s="423"/>
      <c r="R306" s="425" t="s">
        <v>488</v>
      </c>
      <c r="S306" s="72">
        <f t="shared" si="20"/>
        <v>25</v>
      </c>
      <c r="T306" s="72">
        <f t="shared" si="17"/>
        <v>8</v>
      </c>
      <c r="U306" s="72">
        <f t="shared" si="18"/>
        <v>2</v>
      </c>
      <c r="V306" s="86">
        <f t="shared" si="19"/>
        <v>1</v>
      </c>
    </row>
    <row r="307" spans="1:22" s="46" customFormat="1" ht="18" customHeight="1" x14ac:dyDescent="0.25">
      <c r="A307" s="743"/>
      <c r="B307" s="756"/>
      <c r="C307" s="746" t="s">
        <v>840</v>
      </c>
      <c r="D307" s="750"/>
      <c r="E307" s="146"/>
      <c r="F307" s="146"/>
      <c r="G307" s="217"/>
      <c r="H307" s="146"/>
      <c r="I307" s="149" t="s">
        <v>170</v>
      </c>
      <c r="J307" s="150">
        <v>400</v>
      </c>
      <c r="K307" s="151"/>
      <c r="L307" s="292"/>
      <c r="M307" s="83" t="s">
        <v>486</v>
      </c>
      <c r="N307" s="150">
        <v>0</v>
      </c>
      <c r="O307" s="149">
        <v>0</v>
      </c>
      <c r="P307" s="150" t="s">
        <v>841</v>
      </c>
      <c r="Q307" s="335" t="s">
        <v>842</v>
      </c>
      <c r="R307" s="123" t="s">
        <v>488</v>
      </c>
      <c r="S307" s="72">
        <f t="shared" si="20"/>
        <v>0</v>
      </c>
      <c r="T307" s="72">
        <f t="shared" si="17"/>
        <v>0</v>
      </c>
      <c r="U307" s="189">
        <v>0</v>
      </c>
      <c r="V307" s="297">
        <v>0</v>
      </c>
    </row>
    <row r="308" spans="1:22" s="46" customFormat="1" ht="18" customHeight="1" thickBot="1" x14ac:dyDescent="0.3">
      <c r="A308" s="743"/>
      <c r="B308" s="756"/>
      <c r="C308" s="746"/>
      <c r="D308" s="750"/>
      <c r="E308" s="76"/>
      <c r="F308" s="76"/>
      <c r="G308" s="186"/>
      <c r="H308" s="98"/>
      <c r="I308" s="101" t="s">
        <v>843</v>
      </c>
      <c r="J308" s="102">
        <v>63</v>
      </c>
      <c r="K308" s="103"/>
      <c r="L308" s="281"/>
      <c r="M308" s="105" t="s">
        <v>486</v>
      </c>
      <c r="N308" s="102">
        <v>0</v>
      </c>
      <c r="O308" s="101">
        <v>1</v>
      </c>
      <c r="P308" s="102" t="s">
        <v>841</v>
      </c>
      <c r="Q308" s="101" t="s">
        <v>664</v>
      </c>
      <c r="R308" s="282" t="s">
        <v>844</v>
      </c>
      <c r="S308" s="72">
        <f t="shared" si="20"/>
        <v>0</v>
      </c>
      <c r="T308" s="72">
        <f t="shared" si="17"/>
        <v>0</v>
      </c>
      <c r="U308" s="244">
        <v>1</v>
      </c>
      <c r="V308" s="188">
        <v>1</v>
      </c>
    </row>
    <row r="309" spans="1:22" s="46" customFormat="1" ht="18" customHeight="1" x14ac:dyDescent="0.25">
      <c r="A309" s="743"/>
      <c r="B309" s="756"/>
      <c r="C309" s="746"/>
      <c r="D309" s="750"/>
      <c r="E309" s="76"/>
      <c r="F309" s="76"/>
      <c r="G309" s="186"/>
      <c r="H309" s="736" t="s">
        <v>845</v>
      </c>
      <c r="I309" s="71" t="s">
        <v>846</v>
      </c>
      <c r="J309" s="71">
        <v>100</v>
      </c>
      <c r="K309" s="270"/>
      <c r="L309" s="270"/>
      <c r="M309" s="426" t="s">
        <v>486</v>
      </c>
      <c r="N309" s="71">
        <v>54</v>
      </c>
      <c r="O309" s="71">
        <v>3</v>
      </c>
      <c r="P309" s="71" t="s">
        <v>841</v>
      </c>
      <c r="Q309" s="270"/>
      <c r="R309" s="71" t="s">
        <v>488</v>
      </c>
      <c r="S309" s="72">
        <f t="shared" si="20"/>
        <v>18</v>
      </c>
      <c r="T309" s="72">
        <f t="shared" si="17"/>
        <v>6</v>
      </c>
      <c r="U309" s="72">
        <f t="shared" si="18"/>
        <v>1</v>
      </c>
      <c r="V309" s="86">
        <f t="shared" si="19"/>
        <v>0</v>
      </c>
    </row>
    <row r="310" spans="1:22" s="46" customFormat="1" ht="18" customHeight="1" x14ac:dyDescent="0.25">
      <c r="A310" s="743"/>
      <c r="B310" s="756"/>
      <c r="C310" s="746"/>
      <c r="D310" s="750"/>
      <c r="E310" s="76"/>
      <c r="F310" s="76"/>
      <c r="G310" s="186"/>
      <c r="H310" s="737"/>
      <c r="I310" s="85" t="s">
        <v>135</v>
      </c>
      <c r="J310" s="85">
        <v>50</v>
      </c>
      <c r="K310" s="120"/>
      <c r="L310" s="120"/>
      <c r="M310" s="122" t="s">
        <v>486</v>
      </c>
      <c r="N310" s="85">
        <v>53</v>
      </c>
      <c r="O310" s="85">
        <v>1</v>
      </c>
      <c r="P310" s="85" t="s">
        <v>841</v>
      </c>
      <c r="Q310" s="120"/>
      <c r="R310" s="85" t="s">
        <v>488</v>
      </c>
      <c r="S310" s="72">
        <f t="shared" si="20"/>
        <v>18</v>
      </c>
      <c r="T310" s="72">
        <f t="shared" si="17"/>
        <v>6</v>
      </c>
      <c r="U310" s="72">
        <f t="shared" si="18"/>
        <v>0</v>
      </c>
      <c r="V310" s="86">
        <f t="shared" si="19"/>
        <v>0</v>
      </c>
    </row>
    <row r="311" spans="1:22" s="46" customFormat="1" ht="18" customHeight="1" x14ac:dyDescent="0.25">
      <c r="A311" s="743"/>
      <c r="B311" s="756"/>
      <c r="C311" s="746"/>
      <c r="D311" s="750"/>
      <c r="E311" s="76"/>
      <c r="F311" s="76"/>
      <c r="G311" s="186"/>
      <c r="H311" s="737"/>
      <c r="I311" s="95" t="s">
        <v>847</v>
      </c>
      <c r="J311" s="95">
        <v>63</v>
      </c>
      <c r="K311" s="427"/>
      <c r="L311" s="427"/>
      <c r="M311" s="428" t="s">
        <v>486</v>
      </c>
      <c r="N311" s="95">
        <v>0</v>
      </c>
      <c r="O311" s="95">
        <v>1</v>
      </c>
      <c r="P311" s="95" t="s">
        <v>848</v>
      </c>
      <c r="Q311" s="95" t="s">
        <v>849</v>
      </c>
      <c r="R311" s="95" t="s">
        <v>850</v>
      </c>
      <c r="S311" s="72">
        <f t="shared" si="20"/>
        <v>0</v>
      </c>
      <c r="T311" s="72">
        <f t="shared" si="17"/>
        <v>0</v>
      </c>
      <c r="U311" s="244">
        <v>1</v>
      </c>
      <c r="V311" s="188">
        <v>1</v>
      </c>
    </row>
    <row r="312" spans="1:22" s="46" customFormat="1" ht="18" customHeight="1" x14ac:dyDescent="0.25">
      <c r="A312" s="743"/>
      <c r="B312" s="756"/>
      <c r="C312" s="746"/>
      <c r="D312" s="750"/>
      <c r="E312" s="76"/>
      <c r="F312" s="76"/>
      <c r="G312" s="186"/>
      <c r="H312" s="737"/>
      <c r="I312" s="95" t="s">
        <v>851</v>
      </c>
      <c r="J312" s="95">
        <v>100</v>
      </c>
      <c r="K312" s="427"/>
      <c r="L312" s="427"/>
      <c r="M312" s="428" t="s">
        <v>486</v>
      </c>
      <c r="N312" s="95">
        <v>0</v>
      </c>
      <c r="O312" s="95">
        <v>1</v>
      </c>
      <c r="P312" s="95" t="s">
        <v>192</v>
      </c>
      <c r="Q312" s="95"/>
      <c r="R312" s="95" t="s">
        <v>852</v>
      </c>
      <c r="S312" s="72">
        <f t="shared" si="20"/>
        <v>0</v>
      </c>
      <c r="T312" s="72">
        <f t="shared" si="17"/>
        <v>0</v>
      </c>
      <c r="U312" s="244">
        <v>1</v>
      </c>
      <c r="V312" s="188">
        <v>1</v>
      </c>
    </row>
    <row r="313" spans="1:22" s="46" customFormat="1" ht="18" customHeight="1" x14ac:dyDescent="0.25">
      <c r="A313" s="743"/>
      <c r="B313" s="756"/>
      <c r="C313" s="746"/>
      <c r="D313" s="750"/>
      <c r="E313" s="76"/>
      <c r="F313" s="76"/>
      <c r="G313" s="186"/>
      <c r="H313" s="737"/>
      <c r="I313" s="85" t="s">
        <v>143</v>
      </c>
      <c r="J313" s="85">
        <v>63</v>
      </c>
      <c r="K313" s="120"/>
      <c r="L313" s="120"/>
      <c r="M313" s="122" t="s">
        <v>486</v>
      </c>
      <c r="N313" s="85">
        <v>75</v>
      </c>
      <c r="O313" s="85">
        <v>0</v>
      </c>
      <c r="P313" s="85" t="s">
        <v>853</v>
      </c>
      <c r="Q313" s="120"/>
      <c r="R313" s="85" t="s">
        <v>488</v>
      </c>
      <c r="S313" s="72">
        <f t="shared" si="20"/>
        <v>25</v>
      </c>
      <c r="T313" s="72">
        <f t="shared" si="17"/>
        <v>8</v>
      </c>
      <c r="U313" s="72">
        <f t="shared" si="18"/>
        <v>0</v>
      </c>
      <c r="V313" s="86">
        <f t="shared" si="19"/>
        <v>0</v>
      </c>
    </row>
    <row r="314" spans="1:22" s="46" customFormat="1" ht="18" customHeight="1" thickBot="1" x14ac:dyDescent="0.3">
      <c r="A314" s="743"/>
      <c r="B314" s="756"/>
      <c r="C314" s="746"/>
      <c r="D314" s="750"/>
      <c r="E314" s="76"/>
      <c r="F314" s="76"/>
      <c r="G314" s="186"/>
      <c r="H314" s="738"/>
      <c r="I314" s="198" t="s">
        <v>854</v>
      </c>
      <c r="J314" s="198">
        <v>10</v>
      </c>
      <c r="K314" s="429"/>
      <c r="L314" s="429"/>
      <c r="M314" s="430" t="s">
        <v>486</v>
      </c>
      <c r="N314" s="198">
        <v>0</v>
      </c>
      <c r="O314" s="198">
        <v>1</v>
      </c>
      <c r="P314" s="198" t="s">
        <v>853</v>
      </c>
      <c r="Q314" s="431" t="s">
        <v>855</v>
      </c>
      <c r="R314" s="198" t="s">
        <v>449</v>
      </c>
      <c r="S314" s="72">
        <f t="shared" si="20"/>
        <v>0</v>
      </c>
      <c r="T314" s="72">
        <f t="shared" si="17"/>
        <v>0</v>
      </c>
      <c r="U314" s="244">
        <v>1</v>
      </c>
      <c r="V314" s="188">
        <v>1</v>
      </c>
    </row>
    <row r="315" spans="1:22" s="46" customFormat="1" ht="18" customHeight="1" thickBot="1" x14ac:dyDescent="0.3">
      <c r="A315" s="743"/>
      <c r="B315" s="756"/>
      <c r="C315" s="746"/>
      <c r="D315" s="750"/>
      <c r="E315" s="76"/>
      <c r="F315" s="305"/>
      <c r="G315" s="186"/>
      <c r="H315" s="133"/>
      <c r="I315" s="225" t="s">
        <v>856</v>
      </c>
      <c r="J315" s="362">
        <v>250</v>
      </c>
      <c r="K315" s="358"/>
      <c r="L315" s="359"/>
      <c r="M315" s="105" t="s">
        <v>486</v>
      </c>
      <c r="N315" s="362">
        <v>0</v>
      </c>
      <c r="O315" s="225">
        <v>2</v>
      </c>
      <c r="P315" s="362" t="s">
        <v>841</v>
      </c>
      <c r="Q315" s="225" t="s">
        <v>857</v>
      </c>
      <c r="R315" s="363" t="s">
        <v>858</v>
      </c>
      <c r="S315" s="72">
        <f t="shared" si="20"/>
        <v>0</v>
      </c>
      <c r="T315" s="72">
        <f t="shared" si="17"/>
        <v>0</v>
      </c>
      <c r="U315" s="244">
        <v>2</v>
      </c>
      <c r="V315" s="188">
        <v>2</v>
      </c>
    </row>
    <row r="316" spans="1:22" s="46" customFormat="1" ht="18" customHeight="1" x14ac:dyDescent="0.25">
      <c r="A316" s="743"/>
      <c r="B316" s="756"/>
      <c r="C316" s="746"/>
      <c r="D316" s="750"/>
      <c r="E316" s="76"/>
      <c r="F316" s="305"/>
      <c r="G316" s="186"/>
      <c r="H316" s="736" t="s">
        <v>859</v>
      </c>
      <c r="I316" s="262" t="s">
        <v>860</v>
      </c>
      <c r="J316" s="374">
        <v>160</v>
      </c>
      <c r="K316" s="264"/>
      <c r="L316" s="265"/>
      <c r="M316" s="266"/>
      <c r="N316" s="267"/>
      <c r="O316" s="268"/>
      <c r="P316" s="263"/>
      <c r="Q316" s="262"/>
      <c r="R316" s="375"/>
      <c r="S316" s="72">
        <f t="shared" si="20"/>
        <v>0</v>
      </c>
      <c r="T316" s="72">
        <f t="shared" si="17"/>
        <v>0</v>
      </c>
      <c r="U316" s="96">
        <v>0</v>
      </c>
      <c r="V316" s="97">
        <v>0</v>
      </c>
    </row>
    <row r="317" spans="1:22" s="46" customFormat="1" ht="18" customHeight="1" x14ac:dyDescent="0.25">
      <c r="A317" s="743"/>
      <c r="B317" s="756"/>
      <c r="C317" s="746"/>
      <c r="D317" s="750"/>
      <c r="E317" s="76"/>
      <c r="F317" s="305"/>
      <c r="G317" s="186"/>
      <c r="H317" s="737"/>
      <c r="I317" s="252" t="s">
        <v>861</v>
      </c>
      <c r="J317" s="253">
        <v>10</v>
      </c>
      <c r="K317" s="254"/>
      <c r="L317" s="255"/>
      <c r="M317" s="256" t="s">
        <v>486</v>
      </c>
      <c r="N317" s="253">
        <v>0</v>
      </c>
      <c r="O317" s="252">
        <v>1</v>
      </c>
      <c r="P317" s="253" t="s">
        <v>182</v>
      </c>
      <c r="Q317" s="252"/>
      <c r="R317" s="257" t="s">
        <v>862</v>
      </c>
      <c r="S317" s="72">
        <f t="shared" si="20"/>
        <v>0</v>
      </c>
      <c r="T317" s="72">
        <f t="shared" si="17"/>
        <v>0</v>
      </c>
      <c r="U317" s="244">
        <v>1</v>
      </c>
      <c r="V317" s="188">
        <v>1</v>
      </c>
    </row>
    <row r="318" spans="1:22" s="46" customFormat="1" ht="18" customHeight="1" x14ac:dyDescent="0.25">
      <c r="A318" s="743"/>
      <c r="B318" s="756"/>
      <c r="C318" s="746"/>
      <c r="D318" s="750"/>
      <c r="E318" s="76"/>
      <c r="F318" s="76"/>
      <c r="G318" s="186"/>
      <c r="H318" s="737"/>
      <c r="I318" s="88" t="s">
        <v>863</v>
      </c>
      <c r="J318" s="89">
        <v>10</v>
      </c>
      <c r="K318" s="90"/>
      <c r="L318" s="229"/>
      <c r="M318" s="92" t="s">
        <v>486</v>
      </c>
      <c r="N318" s="89">
        <v>0</v>
      </c>
      <c r="O318" s="88">
        <v>1</v>
      </c>
      <c r="P318" s="89" t="s">
        <v>182</v>
      </c>
      <c r="Q318" s="88" t="s">
        <v>864</v>
      </c>
      <c r="R318" s="95" t="s">
        <v>865</v>
      </c>
      <c r="S318" s="72">
        <f t="shared" si="20"/>
        <v>0</v>
      </c>
      <c r="T318" s="72">
        <f t="shared" si="17"/>
        <v>0</v>
      </c>
      <c r="U318" s="244">
        <v>1</v>
      </c>
      <c r="V318" s="188">
        <v>1</v>
      </c>
    </row>
    <row r="319" spans="1:22" s="46" customFormat="1" ht="18" customHeight="1" x14ac:dyDescent="0.25">
      <c r="A319" s="743"/>
      <c r="B319" s="756"/>
      <c r="C319" s="746"/>
      <c r="D319" s="750"/>
      <c r="E319" s="76"/>
      <c r="F319" s="76"/>
      <c r="G319" s="186"/>
      <c r="H319" s="737"/>
      <c r="I319" s="88" t="s">
        <v>866</v>
      </c>
      <c r="J319" s="89">
        <v>10</v>
      </c>
      <c r="K319" s="90"/>
      <c r="L319" s="229"/>
      <c r="M319" s="92" t="s">
        <v>486</v>
      </c>
      <c r="N319" s="89">
        <v>0</v>
      </c>
      <c r="O319" s="88">
        <v>2</v>
      </c>
      <c r="P319" s="89" t="s">
        <v>182</v>
      </c>
      <c r="Q319" s="90"/>
      <c r="R319" s="95" t="s">
        <v>867</v>
      </c>
      <c r="S319" s="72">
        <f t="shared" si="20"/>
        <v>0</v>
      </c>
      <c r="T319" s="72">
        <f t="shared" si="17"/>
        <v>0</v>
      </c>
      <c r="U319" s="244">
        <v>2</v>
      </c>
      <c r="V319" s="188">
        <v>2</v>
      </c>
    </row>
    <row r="320" spans="1:22" s="46" customFormat="1" ht="18" customHeight="1" x14ac:dyDescent="0.25">
      <c r="A320" s="743"/>
      <c r="B320" s="756"/>
      <c r="C320" s="746"/>
      <c r="D320" s="750"/>
      <c r="E320" s="76"/>
      <c r="F320" s="76"/>
      <c r="G320" s="186"/>
      <c r="H320" s="737"/>
      <c r="I320" s="88" t="s">
        <v>868</v>
      </c>
      <c r="J320" s="89">
        <v>4</v>
      </c>
      <c r="K320" s="90"/>
      <c r="L320" s="229"/>
      <c r="M320" s="92" t="s">
        <v>486</v>
      </c>
      <c r="N320" s="89">
        <v>0</v>
      </c>
      <c r="O320" s="88">
        <v>1</v>
      </c>
      <c r="P320" s="89" t="s">
        <v>182</v>
      </c>
      <c r="Q320" s="88" t="s">
        <v>869</v>
      </c>
      <c r="R320" s="95" t="s">
        <v>870</v>
      </c>
      <c r="S320" s="72">
        <f t="shared" si="20"/>
        <v>0</v>
      </c>
      <c r="T320" s="72">
        <f t="shared" si="17"/>
        <v>0</v>
      </c>
      <c r="U320" s="244">
        <v>1</v>
      </c>
      <c r="V320" s="188">
        <v>1</v>
      </c>
    </row>
    <row r="321" spans="1:22" s="46" customFormat="1" ht="18" customHeight="1" x14ac:dyDescent="0.25">
      <c r="A321" s="743"/>
      <c r="B321" s="756"/>
      <c r="C321" s="746"/>
      <c r="D321" s="750"/>
      <c r="E321" s="76"/>
      <c r="F321" s="76"/>
      <c r="G321" s="186"/>
      <c r="H321" s="737"/>
      <c r="I321" s="88" t="s">
        <v>871</v>
      </c>
      <c r="J321" s="89">
        <v>25</v>
      </c>
      <c r="K321" s="90"/>
      <c r="L321" s="229"/>
      <c r="M321" s="92" t="s">
        <v>486</v>
      </c>
      <c r="N321" s="89">
        <v>0</v>
      </c>
      <c r="O321" s="88">
        <v>1</v>
      </c>
      <c r="P321" s="89" t="s">
        <v>182</v>
      </c>
      <c r="Q321" s="88"/>
      <c r="R321" s="95" t="s">
        <v>872</v>
      </c>
      <c r="S321" s="72">
        <f t="shared" si="20"/>
        <v>0</v>
      </c>
      <c r="T321" s="72">
        <f t="shared" si="17"/>
        <v>0</v>
      </c>
      <c r="U321" s="244">
        <v>1</v>
      </c>
      <c r="V321" s="188">
        <v>1</v>
      </c>
    </row>
    <row r="322" spans="1:22" s="46" customFormat="1" ht="18" customHeight="1" x14ac:dyDescent="0.25">
      <c r="A322" s="743"/>
      <c r="B322" s="756"/>
      <c r="C322" s="746"/>
      <c r="D322" s="750"/>
      <c r="E322" s="76"/>
      <c r="F322" s="76"/>
      <c r="G322" s="186"/>
      <c r="H322" s="737"/>
      <c r="I322" s="88" t="s">
        <v>873</v>
      </c>
      <c r="J322" s="89">
        <v>63</v>
      </c>
      <c r="K322" s="90"/>
      <c r="L322" s="229"/>
      <c r="M322" s="92" t="s">
        <v>486</v>
      </c>
      <c r="N322" s="93"/>
      <c r="O322" s="94"/>
      <c r="P322" s="89" t="s">
        <v>182</v>
      </c>
      <c r="Q322" s="88"/>
      <c r="R322" s="95" t="s">
        <v>874</v>
      </c>
      <c r="S322" s="72">
        <f t="shared" si="20"/>
        <v>0</v>
      </c>
      <c r="T322" s="72">
        <f t="shared" si="17"/>
        <v>0</v>
      </c>
      <c r="U322" s="96">
        <v>0</v>
      </c>
      <c r="V322" s="97">
        <v>0</v>
      </c>
    </row>
    <row r="323" spans="1:22" s="46" customFormat="1" ht="18" customHeight="1" x14ac:dyDescent="0.25">
      <c r="A323" s="743"/>
      <c r="B323" s="756"/>
      <c r="C323" s="746"/>
      <c r="D323" s="750"/>
      <c r="E323" s="76"/>
      <c r="F323" s="76"/>
      <c r="G323" s="186"/>
      <c r="H323" s="737"/>
      <c r="I323" s="432" t="s">
        <v>142</v>
      </c>
      <c r="J323" s="251">
        <v>250</v>
      </c>
      <c r="K323" s="433"/>
      <c r="L323" s="434"/>
      <c r="M323" s="379"/>
      <c r="N323" s="93"/>
      <c r="O323" s="94"/>
      <c r="P323" s="251"/>
      <c r="Q323" s="432"/>
      <c r="R323" s="248"/>
      <c r="S323" s="72">
        <f t="shared" si="20"/>
        <v>0</v>
      </c>
      <c r="T323" s="72">
        <f t="shared" si="17"/>
        <v>0</v>
      </c>
      <c r="U323" s="96">
        <v>0</v>
      </c>
      <c r="V323" s="97">
        <v>0</v>
      </c>
    </row>
    <row r="324" spans="1:22" s="46" customFormat="1" ht="18" customHeight="1" x14ac:dyDescent="0.25">
      <c r="A324" s="743"/>
      <c r="B324" s="756"/>
      <c r="C324" s="746"/>
      <c r="D324" s="750"/>
      <c r="E324" s="76"/>
      <c r="F324" s="76"/>
      <c r="G324" s="186"/>
      <c r="H324" s="737"/>
      <c r="I324" s="88" t="s">
        <v>875</v>
      </c>
      <c r="J324" s="89">
        <v>160</v>
      </c>
      <c r="K324" s="90"/>
      <c r="L324" s="229"/>
      <c r="M324" s="92" t="s">
        <v>486</v>
      </c>
      <c r="N324" s="89">
        <v>0</v>
      </c>
      <c r="O324" s="88">
        <v>1</v>
      </c>
      <c r="P324" s="89" t="s">
        <v>182</v>
      </c>
      <c r="Q324" s="88" t="s">
        <v>876</v>
      </c>
      <c r="R324" s="95" t="s">
        <v>874</v>
      </c>
      <c r="S324" s="72">
        <f t="shared" si="20"/>
        <v>0</v>
      </c>
      <c r="T324" s="72">
        <f t="shared" si="17"/>
        <v>0</v>
      </c>
      <c r="U324" s="244">
        <v>1</v>
      </c>
      <c r="V324" s="188">
        <v>1</v>
      </c>
    </row>
    <row r="325" spans="1:22" s="46" customFormat="1" ht="18" customHeight="1" x14ac:dyDescent="0.25">
      <c r="A325" s="743"/>
      <c r="B325" s="756"/>
      <c r="C325" s="746"/>
      <c r="D325" s="750"/>
      <c r="E325" s="76"/>
      <c r="F325" s="76"/>
      <c r="G325" s="186"/>
      <c r="H325" s="737"/>
      <c r="I325" s="88" t="s">
        <v>877</v>
      </c>
      <c r="J325" s="89">
        <v>25</v>
      </c>
      <c r="K325" s="90"/>
      <c r="L325" s="229"/>
      <c r="M325" s="92" t="s">
        <v>486</v>
      </c>
      <c r="N325" s="89">
        <v>0</v>
      </c>
      <c r="O325" s="88">
        <v>1</v>
      </c>
      <c r="P325" s="89" t="s">
        <v>182</v>
      </c>
      <c r="Q325" s="88" t="s">
        <v>563</v>
      </c>
      <c r="R325" s="95" t="s">
        <v>878</v>
      </c>
      <c r="S325" s="72">
        <f t="shared" si="20"/>
        <v>0</v>
      </c>
      <c r="T325" s="72">
        <f t="shared" si="17"/>
        <v>0</v>
      </c>
      <c r="U325" s="244">
        <v>1</v>
      </c>
      <c r="V325" s="188">
        <v>1</v>
      </c>
    </row>
    <row r="326" spans="1:22" s="46" customFormat="1" ht="18" customHeight="1" x14ac:dyDescent="0.25">
      <c r="A326" s="743"/>
      <c r="B326" s="756"/>
      <c r="C326" s="746"/>
      <c r="D326" s="750"/>
      <c r="E326" s="76"/>
      <c r="F326" s="76"/>
      <c r="G326" s="186"/>
      <c r="H326" s="737"/>
      <c r="I326" s="79" t="s">
        <v>150</v>
      </c>
      <c r="J326" s="80">
        <v>160</v>
      </c>
      <c r="K326" s="81"/>
      <c r="L326" s="230"/>
      <c r="M326" s="83" t="s">
        <v>486</v>
      </c>
      <c r="N326" s="80">
        <v>233</v>
      </c>
      <c r="O326" s="79">
        <v>6</v>
      </c>
      <c r="P326" s="80" t="s">
        <v>182</v>
      </c>
      <c r="Q326" s="241"/>
      <c r="R326" s="85" t="s">
        <v>488</v>
      </c>
      <c r="S326" s="72">
        <f>ROUND(N326/9,0)</f>
        <v>26</v>
      </c>
      <c r="T326" s="72">
        <f t="shared" si="17"/>
        <v>9</v>
      </c>
      <c r="U326" s="72">
        <f t="shared" si="18"/>
        <v>2</v>
      </c>
      <c r="V326" s="86">
        <f t="shared" si="19"/>
        <v>1</v>
      </c>
    </row>
    <row r="327" spans="1:22" s="46" customFormat="1" ht="18" customHeight="1" x14ac:dyDescent="0.25">
      <c r="A327" s="743"/>
      <c r="B327" s="756"/>
      <c r="C327" s="746"/>
      <c r="D327" s="750"/>
      <c r="E327" s="76"/>
      <c r="F327" s="76"/>
      <c r="G327" s="186"/>
      <c r="H327" s="737"/>
      <c r="I327" s="79" t="s">
        <v>190</v>
      </c>
      <c r="J327" s="80">
        <v>250</v>
      </c>
      <c r="K327" s="325">
        <v>250</v>
      </c>
      <c r="L327" s="230"/>
      <c r="M327" s="83" t="s">
        <v>486</v>
      </c>
      <c r="N327" s="80">
        <v>102</v>
      </c>
      <c r="O327" s="79">
        <v>7</v>
      </c>
      <c r="P327" s="80" t="s">
        <v>879</v>
      </c>
      <c r="Q327" s="79" t="s">
        <v>530</v>
      </c>
      <c r="R327" s="85" t="s">
        <v>488</v>
      </c>
      <c r="S327" s="72">
        <f t="shared" si="20"/>
        <v>34</v>
      </c>
      <c r="T327" s="72">
        <f t="shared" si="17"/>
        <v>11</v>
      </c>
      <c r="U327" s="72">
        <f t="shared" si="18"/>
        <v>2</v>
      </c>
      <c r="V327" s="86">
        <f t="shared" si="19"/>
        <v>1</v>
      </c>
    </row>
    <row r="328" spans="1:22" s="46" customFormat="1" ht="18" customHeight="1" x14ac:dyDescent="0.25">
      <c r="A328" s="743"/>
      <c r="B328" s="756"/>
      <c r="C328" s="746"/>
      <c r="D328" s="750"/>
      <c r="E328" s="76"/>
      <c r="F328" s="76"/>
      <c r="G328" s="186"/>
      <c r="H328" s="737"/>
      <c r="I328" s="79" t="s">
        <v>145</v>
      </c>
      <c r="J328" s="80">
        <v>100</v>
      </c>
      <c r="K328" s="81"/>
      <c r="L328" s="230"/>
      <c r="M328" s="83" t="s">
        <v>486</v>
      </c>
      <c r="N328" s="80">
        <v>62</v>
      </c>
      <c r="O328" s="79">
        <v>0</v>
      </c>
      <c r="P328" s="80" t="s">
        <v>879</v>
      </c>
      <c r="Q328" s="81"/>
      <c r="R328" s="85" t="s">
        <v>488</v>
      </c>
      <c r="S328" s="72">
        <f t="shared" si="20"/>
        <v>21</v>
      </c>
      <c r="T328" s="72">
        <f t="shared" si="17"/>
        <v>7</v>
      </c>
      <c r="U328" s="72">
        <f t="shared" si="18"/>
        <v>0</v>
      </c>
      <c r="V328" s="86">
        <f t="shared" si="19"/>
        <v>0</v>
      </c>
    </row>
    <row r="329" spans="1:22" s="46" customFormat="1" ht="18" customHeight="1" x14ac:dyDescent="0.25">
      <c r="A329" s="743"/>
      <c r="B329" s="756"/>
      <c r="C329" s="746"/>
      <c r="D329" s="750"/>
      <c r="E329" s="76"/>
      <c r="F329" s="76"/>
      <c r="G329" s="186"/>
      <c r="H329" s="737"/>
      <c r="I329" s="79" t="s">
        <v>141</v>
      </c>
      <c r="J329" s="80">
        <v>50</v>
      </c>
      <c r="K329" s="81"/>
      <c r="L329" s="230"/>
      <c r="M329" s="83" t="s">
        <v>486</v>
      </c>
      <c r="N329" s="80">
        <v>58</v>
      </c>
      <c r="O329" s="79">
        <v>0</v>
      </c>
      <c r="P329" s="80" t="s">
        <v>879</v>
      </c>
      <c r="Q329" s="81"/>
      <c r="R329" s="85" t="s">
        <v>488</v>
      </c>
      <c r="S329" s="72">
        <f t="shared" si="20"/>
        <v>19</v>
      </c>
      <c r="T329" s="72">
        <f t="shared" si="17"/>
        <v>6</v>
      </c>
      <c r="U329" s="72">
        <f t="shared" si="18"/>
        <v>0</v>
      </c>
      <c r="V329" s="86">
        <f t="shared" si="19"/>
        <v>0</v>
      </c>
    </row>
    <row r="330" spans="1:22" s="46" customFormat="1" ht="18" customHeight="1" x14ac:dyDescent="0.25">
      <c r="A330" s="743"/>
      <c r="B330" s="756"/>
      <c r="C330" s="746"/>
      <c r="D330" s="750"/>
      <c r="E330" s="76"/>
      <c r="F330" s="76"/>
      <c r="G330" s="186"/>
      <c r="H330" s="737"/>
      <c r="I330" s="79" t="s">
        <v>146</v>
      </c>
      <c r="J330" s="80">
        <v>250</v>
      </c>
      <c r="K330" s="81"/>
      <c r="L330" s="230"/>
      <c r="M330" s="83" t="s">
        <v>486</v>
      </c>
      <c r="N330" s="80">
        <v>89</v>
      </c>
      <c r="O330" s="79">
        <v>4</v>
      </c>
      <c r="P330" s="80" t="s">
        <v>182</v>
      </c>
      <c r="Q330" s="79" t="s">
        <v>525</v>
      </c>
      <c r="R330" s="85" t="s">
        <v>488</v>
      </c>
      <c r="S330" s="72">
        <f t="shared" si="20"/>
        <v>30</v>
      </c>
      <c r="T330" s="72">
        <f t="shared" ref="T330:T393" si="21">ROUND(S330/3,0)</f>
        <v>10</v>
      </c>
      <c r="U330" s="72">
        <f t="shared" si="18"/>
        <v>1</v>
      </c>
      <c r="V330" s="86">
        <f t="shared" si="19"/>
        <v>0</v>
      </c>
    </row>
    <row r="331" spans="1:22" s="46" customFormat="1" ht="18" customHeight="1" thickBot="1" x14ac:dyDescent="0.3">
      <c r="A331" s="743"/>
      <c r="B331" s="756"/>
      <c r="C331" s="746"/>
      <c r="D331" s="750"/>
      <c r="E331" s="76"/>
      <c r="F331" s="346"/>
      <c r="G331" s="186"/>
      <c r="H331" s="738"/>
      <c r="I331" s="179" t="s">
        <v>144</v>
      </c>
      <c r="J331" s="180">
        <v>100</v>
      </c>
      <c r="K331" s="181"/>
      <c r="L331" s="238"/>
      <c r="M331" s="215" t="s">
        <v>486</v>
      </c>
      <c r="N331" s="180">
        <v>102</v>
      </c>
      <c r="O331" s="179">
        <v>2</v>
      </c>
      <c r="P331" s="180" t="s">
        <v>182</v>
      </c>
      <c r="Q331" s="181"/>
      <c r="R331" s="184" t="s">
        <v>488</v>
      </c>
      <c r="S331" s="72">
        <f t="shared" si="20"/>
        <v>34</v>
      </c>
      <c r="T331" s="72">
        <f t="shared" si="21"/>
        <v>11</v>
      </c>
      <c r="U331" s="72">
        <f t="shared" ref="U331:U392" si="22">ROUND(O331/3,0)</f>
        <v>1</v>
      </c>
      <c r="V331" s="86">
        <f t="shared" ref="V331:V392" si="23">ROUND(U331/3,0)</f>
        <v>0</v>
      </c>
    </row>
    <row r="332" spans="1:22" s="46" customFormat="1" ht="18" customHeight="1" thickBot="1" x14ac:dyDescent="0.3">
      <c r="A332" s="743"/>
      <c r="B332" s="756"/>
      <c r="C332" s="745" t="s">
        <v>880</v>
      </c>
      <c r="D332" s="749"/>
      <c r="E332" s="64"/>
      <c r="F332" s="435"/>
      <c r="G332" s="185"/>
      <c r="H332" s="65"/>
      <c r="I332" s="71" t="s">
        <v>881</v>
      </c>
      <c r="J332" s="71">
        <v>100</v>
      </c>
      <c r="K332" s="71"/>
      <c r="L332" s="270"/>
      <c r="M332" s="426" t="s">
        <v>486</v>
      </c>
      <c r="N332" s="71">
        <v>0</v>
      </c>
      <c r="O332" s="375"/>
      <c r="P332" s="71"/>
      <c r="Q332" s="436"/>
      <c r="R332" s="71" t="s">
        <v>488</v>
      </c>
      <c r="S332" s="72">
        <f t="shared" si="20"/>
        <v>0</v>
      </c>
      <c r="T332" s="72">
        <f t="shared" si="21"/>
        <v>0</v>
      </c>
      <c r="U332" s="96">
        <v>0</v>
      </c>
      <c r="V332" s="97">
        <v>0</v>
      </c>
    </row>
    <row r="333" spans="1:22" s="46" customFormat="1" ht="18" customHeight="1" x14ac:dyDescent="0.25">
      <c r="A333" s="743"/>
      <c r="B333" s="756"/>
      <c r="C333" s="746"/>
      <c r="D333" s="750"/>
      <c r="E333" s="146"/>
      <c r="F333" s="437"/>
      <c r="G333" s="217"/>
      <c r="H333" s="147"/>
      <c r="I333" s="438" t="s">
        <v>882</v>
      </c>
      <c r="J333" s="177">
        <v>630</v>
      </c>
      <c r="K333" s="438"/>
      <c r="L333" s="439"/>
      <c r="M333" s="440" t="s">
        <v>486</v>
      </c>
      <c r="N333" s="438">
        <v>0</v>
      </c>
      <c r="O333" s="438">
        <v>1</v>
      </c>
      <c r="P333" s="438"/>
      <c r="Q333" s="441"/>
      <c r="R333" s="438" t="s">
        <v>883</v>
      </c>
      <c r="S333" s="72">
        <f t="shared" si="20"/>
        <v>0</v>
      </c>
      <c r="T333" s="72">
        <f t="shared" si="21"/>
        <v>0</v>
      </c>
      <c r="U333" s="339">
        <v>1</v>
      </c>
      <c r="V333" s="340">
        <v>1</v>
      </c>
    </row>
    <row r="334" spans="1:22" s="46" customFormat="1" ht="18" customHeight="1" thickBot="1" x14ac:dyDescent="0.3">
      <c r="A334" s="743"/>
      <c r="B334" s="756"/>
      <c r="C334" s="746"/>
      <c r="D334" s="750"/>
      <c r="E334" s="146"/>
      <c r="F334" s="437"/>
      <c r="G334" s="217"/>
      <c r="H334" s="133"/>
      <c r="I334" s="442" t="s">
        <v>76</v>
      </c>
      <c r="J334" s="442">
        <v>400</v>
      </c>
      <c r="K334" s="442">
        <v>400</v>
      </c>
      <c r="L334" s="443"/>
      <c r="M334" s="444" t="s">
        <v>486</v>
      </c>
      <c r="N334" s="442">
        <v>224</v>
      </c>
      <c r="O334" s="442">
        <v>23</v>
      </c>
      <c r="P334" s="442" t="s">
        <v>793</v>
      </c>
      <c r="Q334" s="443"/>
      <c r="R334" s="445" t="s">
        <v>488</v>
      </c>
      <c r="S334" s="72">
        <f>ROUND(N334/9,0)</f>
        <v>25</v>
      </c>
      <c r="T334" s="72">
        <f t="shared" si="21"/>
        <v>8</v>
      </c>
      <c r="U334" s="72">
        <f t="shared" si="22"/>
        <v>8</v>
      </c>
      <c r="V334" s="86">
        <f t="shared" si="23"/>
        <v>3</v>
      </c>
    </row>
    <row r="335" spans="1:22" s="46" customFormat="1" ht="18" customHeight="1" x14ac:dyDescent="0.25">
      <c r="A335" s="743"/>
      <c r="B335" s="756"/>
      <c r="C335" s="746"/>
      <c r="D335" s="750"/>
      <c r="E335" s="146"/>
      <c r="F335" s="437"/>
      <c r="G335" s="217"/>
      <c r="H335" s="763" t="s">
        <v>884</v>
      </c>
      <c r="I335" s="446" t="s">
        <v>80</v>
      </c>
      <c r="J335" s="447">
        <v>100</v>
      </c>
      <c r="K335" s="448"/>
      <c r="L335" s="448"/>
      <c r="M335" s="449" t="s">
        <v>486</v>
      </c>
      <c r="N335" s="447">
        <v>13</v>
      </c>
      <c r="O335" s="447">
        <v>7</v>
      </c>
      <c r="P335" s="447" t="s">
        <v>804</v>
      </c>
      <c r="Q335" s="448"/>
      <c r="R335" s="450" t="s">
        <v>488</v>
      </c>
      <c r="S335" s="72">
        <f t="shared" si="20"/>
        <v>4</v>
      </c>
      <c r="T335" s="72">
        <f t="shared" si="21"/>
        <v>1</v>
      </c>
      <c r="U335" s="72">
        <f t="shared" si="22"/>
        <v>2</v>
      </c>
      <c r="V335" s="86">
        <f t="shared" si="23"/>
        <v>1</v>
      </c>
    </row>
    <row r="336" spans="1:22" s="46" customFormat="1" ht="18" customHeight="1" x14ac:dyDescent="0.25">
      <c r="A336" s="743"/>
      <c r="B336" s="756"/>
      <c r="C336" s="746"/>
      <c r="D336" s="750"/>
      <c r="E336" s="146"/>
      <c r="F336" s="437"/>
      <c r="G336" s="217"/>
      <c r="H336" s="764"/>
      <c r="I336" s="79" t="s">
        <v>79</v>
      </c>
      <c r="J336" s="80">
        <v>250</v>
      </c>
      <c r="K336" s="81"/>
      <c r="L336" s="230"/>
      <c r="M336" s="83" t="s">
        <v>486</v>
      </c>
      <c r="N336" s="80">
        <v>156</v>
      </c>
      <c r="O336" s="79">
        <v>14</v>
      </c>
      <c r="P336" s="80" t="s">
        <v>885</v>
      </c>
      <c r="Q336" s="81"/>
      <c r="R336" s="85" t="s">
        <v>488</v>
      </c>
      <c r="S336" s="72">
        <f t="shared" si="20"/>
        <v>52</v>
      </c>
      <c r="T336" s="72">
        <f t="shared" si="21"/>
        <v>17</v>
      </c>
      <c r="U336" s="72">
        <f t="shared" si="22"/>
        <v>5</v>
      </c>
      <c r="V336" s="86">
        <f t="shared" si="23"/>
        <v>2</v>
      </c>
    </row>
    <row r="337" spans="1:22" s="46" customFormat="1" ht="18" customHeight="1" thickBot="1" x14ac:dyDescent="0.3">
      <c r="A337" s="743"/>
      <c r="B337" s="756"/>
      <c r="C337" s="746"/>
      <c r="D337" s="750"/>
      <c r="E337" s="146"/>
      <c r="F337" s="437"/>
      <c r="G337" s="217"/>
      <c r="H337" s="765"/>
      <c r="I337" s="179" t="s">
        <v>87</v>
      </c>
      <c r="J337" s="180">
        <v>250</v>
      </c>
      <c r="K337" s="181"/>
      <c r="L337" s="238"/>
      <c r="M337" s="215" t="s">
        <v>486</v>
      </c>
      <c r="N337" s="180">
        <v>21</v>
      </c>
      <c r="O337" s="179">
        <v>3</v>
      </c>
      <c r="P337" s="180" t="s">
        <v>886</v>
      </c>
      <c r="Q337" s="181"/>
      <c r="R337" s="184" t="s">
        <v>488</v>
      </c>
      <c r="S337" s="72">
        <f t="shared" si="20"/>
        <v>7</v>
      </c>
      <c r="T337" s="72">
        <f t="shared" si="21"/>
        <v>2</v>
      </c>
      <c r="U337" s="72">
        <f t="shared" si="22"/>
        <v>1</v>
      </c>
      <c r="V337" s="86">
        <f t="shared" si="23"/>
        <v>0</v>
      </c>
    </row>
    <row r="338" spans="1:22" s="46" customFormat="1" ht="18" customHeight="1" thickBot="1" x14ac:dyDescent="0.3">
      <c r="A338" s="743"/>
      <c r="B338" s="756"/>
      <c r="C338" s="746"/>
      <c r="D338" s="750"/>
      <c r="E338" s="146"/>
      <c r="F338" s="437"/>
      <c r="G338" s="217"/>
      <c r="H338" s="451" t="s">
        <v>887</v>
      </c>
      <c r="I338" s="55" t="s">
        <v>92</v>
      </c>
      <c r="J338" s="56">
        <v>630</v>
      </c>
      <c r="K338" s="55">
        <v>630</v>
      </c>
      <c r="L338" s="355"/>
      <c r="M338" s="58" t="s">
        <v>486</v>
      </c>
      <c r="N338" s="56">
        <v>1</v>
      </c>
      <c r="O338" s="55">
        <v>2</v>
      </c>
      <c r="P338" s="56" t="s">
        <v>888</v>
      </c>
      <c r="Q338" s="452"/>
      <c r="R338" s="53" t="s">
        <v>488</v>
      </c>
      <c r="S338" s="72">
        <f t="shared" si="20"/>
        <v>0</v>
      </c>
      <c r="T338" s="72">
        <f t="shared" si="21"/>
        <v>0</v>
      </c>
      <c r="U338" s="72">
        <f t="shared" si="22"/>
        <v>1</v>
      </c>
      <c r="V338" s="86">
        <f t="shared" si="23"/>
        <v>0</v>
      </c>
    </row>
    <row r="339" spans="1:22" s="46" customFormat="1" ht="18" customHeight="1" x14ac:dyDescent="0.25">
      <c r="A339" s="743"/>
      <c r="B339" s="756"/>
      <c r="C339" s="746"/>
      <c r="D339" s="750"/>
      <c r="E339" s="146"/>
      <c r="F339" s="437"/>
      <c r="G339" s="217"/>
      <c r="H339" s="763" t="s">
        <v>889</v>
      </c>
      <c r="I339" s="67" t="s">
        <v>890</v>
      </c>
      <c r="J339" s="68">
        <v>630</v>
      </c>
      <c r="K339" s="67">
        <v>400</v>
      </c>
      <c r="L339" s="243"/>
      <c r="M339" s="70" t="s">
        <v>486</v>
      </c>
      <c r="N339" s="68">
        <v>282</v>
      </c>
      <c r="O339" s="67">
        <v>62</v>
      </c>
      <c r="P339" s="68" t="s">
        <v>891</v>
      </c>
      <c r="Q339" s="67" t="s">
        <v>892</v>
      </c>
      <c r="R339" s="71" t="s">
        <v>488</v>
      </c>
      <c r="S339" s="72">
        <f t="shared" si="20"/>
        <v>94</v>
      </c>
      <c r="T339" s="72">
        <f t="shared" si="21"/>
        <v>31</v>
      </c>
      <c r="U339" s="72">
        <f t="shared" si="22"/>
        <v>21</v>
      </c>
      <c r="V339" s="86">
        <f t="shared" si="23"/>
        <v>7</v>
      </c>
    </row>
    <row r="340" spans="1:22" s="46" customFormat="1" ht="18" customHeight="1" x14ac:dyDescent="0.25">
      <c r="A340" s="743"/>
      <c r="B340" s="756"/>
      <c r="C340" s="746"/>
      <c r="D340" s="750"/>
      <c r="E340" s="146"/>
      <c r="F340" s="437"/>
      <c r="G340" s="217"/>
      <c r="H340" s="764"/>
      <c r="I340" s="79" t="s">
        <v>77</v>
      </c>
      <c r="J340" s="80">
        <v>630</v>
      </c>
      <c r="K340" s="79">
        <v>400</v>
      </c>
      <c r="L340" s="230"/>
      <c r="M340" s="83" t="s">
        <v>486</v>
      </c>
      <c r="N340" s="80">
        <v>273</v>
      </c>
      <c r="O340" s="79">
        <v>11</v>
      </c>
      <c r="P340" s="80" t="s">
        <v>893</v>
      </c>
      <c r="Q340" s="81"/>
      <c r="R340" s="85" t="s">
        <v>488</v>
      </c>
      <c r="S340" s="72">
        <f t="shared" si="20"/>
        <v>91</v>
      </c>
      <c r="T340" s="72">
        <f t="shared" si="21"/>
        <v>30</v>
      </c>
      <c r="U340" s="72">
        <f t="shared" si="22"/>
        <v>4</v>
      </c>
      <c r="V340" s="86">
        <f t="shared" si="23"/>
        <v>1</v>
      </c>
    </row>
    <row r="341" spans="1:22" s="46" customFormat="1" ht="18" customHeight="1" x14ac:dyDescent="0.25">
      <c r="A341" s="743"/>
      <c r="B341" s="756"/>
      <c r="C341" s="746"/>
      <c r="D341" s="750"/>
      <c r="E341" s="146"/>
      <c r="F341" s="437"/>
      <c r="G341" s="217"/>
      <c r="H341" s="764"/>
      <c r="I341" s="79" t="s">
        <v>78</v>
      </c>
      <c r="J341" s="80">
        <v>250</v>
      </c>
      <c r="K341" s="79">
        <v>400</v>
      </c>
      <c r="L341" s="230"/>
      <c r="M341" s="83" t="s">
        <v>486</v>
      </c>
      <c r="N341" s="80">
        <v>108</v>
      </c>
      <c r="O341" s="79">
        <v>10</v>
      </c>
      <c r="P341" s="80" t="s">
        <v>894</v>
      </c>
      <c r="Q341" s="81"/>
      <c r="R341" s="85" t="s">
        <v>488</v>
      </c>
      <c r="S341" s="72">
        <f t="shared" ref="S341:S404" si="24">ROUND(N341/3,0)</f>
        <v>36</v>
      </c>
      <c r="T341" s="72">
        <f t="shared" si="21"/>
        <v>12</v>
      </c>
      <c r="U341" s="72">
        <f t="shared" si="22"/>
        <v>3</v>
      </c>
      <c r="V341" s="86">
        <f t="shared" si="23"/>
        <v>1</v>
      </c>
    </row>
    <row r="342" spans="1:22" s="46" customFormat="1" ht="18" customHeight="1" thickBot="1" x14ac:dyDescent="0.3">
      <c r="A342" s="743"/>
      <c r="B342" s="756"/>
      <c r="C342" s="746"/>
      <c r="D342" s="750"/>
      <c r="E342" s="146"/>
      <c r="F342" s="437"/>
      <c r="G342" s="217"/>
      <c r="H342" s="764"/>
      <c r="I342" s="179" t="s">
        <v>89</v>
      </c>
      <c r="J342" s="180">
        <v>400</v>
      </c>
      <c r="K342" s="179">
        <v>160</v>
      </c>
      <c r="L342" s="238"/>
      <c r="M342" s="215" t="s">
        <v>486</v>
      </c>
      <c r="N342" s="180">
        <v>175</v>
      </c>
      <c r="O342" s="179">
        <v>18</v>
      </c>
      <c r="P342" s="180" t="s">
        <v>796</v>
      </c>
      <c r="Q342" s="181"/>
      <c r="R342" s="184" t="s">
        <v>488</v>
      </c>
      <c r="S342" s="72">
        <f t="shared" si="24"/>
        <v>58</v>
      </c>
      <c r="T342" s="72">
        <f t="shared" si="21"/>
        <v>19</v>
      </c>
      <c r="U342" s="72">
        <f t="shared" si="22"/>
        <v>6</v>
      </c>
      <c r="V342" s="86">
        <f t="shared" si="23"/>
        <v>2</v>
      </c>
    </row>
    <row r="343" spans="1:22" s="46" customFormat="1" ht="18" customHeight="1" thickBot="1" x14ac:dyDescent="0.3">
      <c r="A343" s="743"/>
      <c r="B343" s="756"/>
      <c r="C343" s="746"/>
      <c r="D343" s="750"/>
      <c r="E343" s="146"/>
      <c r="F343" s="437"/>
      <c r="G343" s="217"/>
      <c r="H343" s="765"/>
      <c r="I343" s="453" t="s">
        <v>895</v>
      </c>
      <c r="J343" s="454">
        <v>400</v>
      </c>
      <c r="K343" s="453">
        <v>400</v>
      </c>
      <c r="L343" s="454">
        <v>1</v>
      </c>
      <c r="M343" s="455" t="s">
        <v>484</v>
      </c>
      <c r="N343" s="454">
        <v>7</v>
      </c>
      <c r="O343" s="453">
        <v>1</v>
      </c>
      <c r="P343" s="454" t="s">
        <v>891</v>
      </c>
      <c r="Q343" s="453" t="s">
        <v>896</v>
      </c>
      <c r="R343" s="456" t="s">
        <v>897</v>
      </c>
      <c r="S343" s="72">
        <f t="shared" si="24"/>
        <v>2</v>
      </c>
      <c r="T343" s="72">
        <f t="shared" si="21"/>
        <v>1</v>
      </c>
      <c r="U343" s="72">
        <f t="shared" si="22"/>
        <v>0</v>
      </c>
      <c r="V343" s="86">
        <f t="shared" si="23"/>
        <v>0</v>
      </c>
    </row>
    <row r="344" spans="1:22" s="46" customFormat="1" ht="18" customHeight="1" x14ac:dyDescent="0.25">
      <c r="A344" s="743"/>
      <c r="B344" s="756"/>
      <c r="C344" s="746"/>
      <c r="D344" s="750"/>
      <c r="E344" s="76"/>
      <c r="F344" s="76"/>
      <c r="G344" s="186"/>
      <c r="H344" s="763" t="s">
        <v>898</v>
      </c>
      <c r="I344" s="67" t="s">
        <v>84</v>
      </c>
      <c r="J344" s="68">
        <v>250</v>
      </c>
      <c r="K344" s="178"/>
      <c r="L344" s="243"/>
      <c r="M344" s="70" t="s">
        <v>486</v>
      </c>
      <c r="N344" s="68">
        <v>138</v>
      </c>
      <c r="O344" s="67">
        <v>4</v>
      </c>
      <c r="P344" s="68" t="s">
        <v>85</v>
      </c>
      <c r="Q344" s="178"/>
      <c r="R344" s="71" t="s">
        <v>488</v>
      </c>
      <c r="S344" s="72">
        <f t="shared" si="24"/>
        <v>46</v>
      </c>
      <c r="T344" s="72">
        <f t="shared" si="21"/>
        <v>15</v>
      </c>
      <c r="U344" s="72">
        <f t="shared" si="22"/>
        <v>1</v>
      </c>
      <c r="V344" s="86">
        <f t="shared" si="23"/>
        <v>0</v>
      </c>
    </row>
    <row r="345" spans="1:22" s="46" customFormat="1" ht="18" customHeight="1" x14ac:dyDescent="0.25">
      <c r="A345" s="743"/>
      <c r="B345" s="756"/>
      <c r="C345" s="746"/>
      <c r="D345" s="750"/>
      <c r="E345" s="76"/>
      <c r="F345" s="76"/>
      <c r="G345" s="186"/>
      <c r="H345" s="764"/>
      <c r="I345" s="79" t="s">
        <v>99</v>
      </c>
      <c r="J345" s="80">
        <v>160</v>
      </c>
      <c r="K345" s="81"/>
      <c r="L345" s="230"/>
      <c r="M345" s="83" t="s">
        <v>486</v>
      </c>
      <c r="N345" s="80">
        <v>171</v>
      </c>
      <c r="O345" s="79">
        <v>3</v>
      </c>
      <c r="P345" s="80" t="s">
        <v>899</v>
      </c>
      <c r="Q345" s="81"/>
      <c r="R345" s="85" t="s">
        <v>488</v>
      </c>
      <c r="S345" s="72">
        <f t="shared" si="24"/>
        <v>57</v>
      </c>
      <c r="T345" s="72">
        <f t="shared" si="21"/>
        <v>19</v>
      </c>
      <c r="U345" s="72">
        <f t="shared" si="22"/>
        <v>1</v>
      </c>
      <c r="V345" s="86">
        <f t="shared" si="23"/>
        <v>0</v>
      </c>
    </row>
    <row r="346" spans="1:22" s="46" customFormat="1" ht="18" customHeight="1" x14ac:dyDescent="0.25">
      <c r="A346" s="743"/>
      <c r="B346" s="756"/>
      <c r="C346" s="746"/>
      <c r="D346" s="750"/>
      <c r="E346" s="76"/>
      <c r="F346" s="76"/>
      <c r="G346" s="186"/>
      <c r="H346" s="764"/>
      <c r="I346" s="219" t="s">
        <v>900</v>
      </c>
      <c r="J346" s="220">
        <v>180</v>
      </c>
      <c r="K346" s="221"/>
      <c r="L346" s="222"/>
      <c r="M346" s="92" t="s">
        <v>486</v>
      </c>
      <c r="N346" s="220"/>
      <c r="O346" s="219"/>
      <c r="P346" s="220" t="s">
        <v>901</v>
      </c>
      <c r="Q346" s="219" t="s">
        <v>523</v>
      </c>
      <c r="R346" s="226" t="s">
        <v>529</v>
      </c>
      <c r="S346" s="72">
        <f t="shared" si="24"/>
        <v>0</v>
      </c>
      <c r="T346" s="72">
        <f t="shared" si="21"/>
        <v>0</v>
      </c>
      <c r="U346" s="244">
        <v>0</v>
      </c>
      <c r="V346" s="188">
        <v>0</v>
      </c>
    </row>
    <row r="347" spans="1:22" s="46" customFormat="1" ht="18" customHeight="1" x14ac:dyDescent="0.25">
      <c r="A347" s="743"/>
      <c r="B347" s="756"/>
      <c r="C347" s="746"/>
      <c r="D347" s="750"/>
      <c r="E347" s="76"/>
      <c r="F347" s="76"/>
      <c r="G347" s="186"/>
      <c r="H347" s="764"/>
      <c r="I347" s="79" t="s">
        <v>101</v>
      </c>
      <c r="J347" s="80">
        <v>160</v>
      </c>
      <c r="K347" s="81"/>
      <c r="L347" s="230"/>
      <c r="M347" s="83" t="s">
        <v>486</v>
      </c>
      <c r="N347" s="80">
        <v>213</v>
      </c>
      <c r="O347" s="79">
        <v>7</v>
      </c>
      <c r="P347" s="80" t="s">
        <v>85</v>
      </c>
      <c r="Q347" s="81"/>
      <c r="R347" s="85" t="s">
        <v>488</v>
      </c>
      <c r="S347" s="72">
        <f t="shared" si="24"/>
        <v>71</v>
      </c>
      <c r="T347" s="72">
        <f t="shared" si="21"/>
        <v>24</v>
      </c>
      <c r="U347" s="72">
        <f t="shared" si="22"/>
        <v>2</v>
      </c>
      <c r="V347" s="86">
        <f t="shared" si="23"/>
        <v>1</v>
      </c>
    </row>
    <row r="348" spans="1:22" s="46" customFormat="1" ht="18" customHeight="1" x14ac:dyDescent="0.25">
      <c r="A348" s="743"/>
      <c r="B348" s="756"/>
      <c r="C348" s="746"/>
      <c r="D348" s="750"/>
      <c r="E348" s="76"/>
      <c r="F348" s="76"/>
      <c r="G348" s="186"/>
      <c r="H348" s="764"/>
      <c r="I348" s="79" t="s">
        <v>109</v>
      </c>
      <c r="J348" s="80">
        <v>250</v>
      </c>
      <c r="K348" s="81"/>
      <c r="L348" s="230"/>
      <c r="M348" s="83" t="s">
        <v>486</v>
      </c>
      <c r="N348" s="80">
        <v>210</v>
      </c>
      <c r="O348" s="79">
        <v>4</v>
      </c>
      <c r="P348" s="80" t="s">
        <v>899</v>
      </c>
      <c r="Q348" s="81"/>
      <c r="R348" s="85" t="s">
        <v>488</v>
      </c>
      <c r="S348" s="72">
        <f>ROUND(N348/9,0)</f>
        <v>23</v>
      </c>
      <c r="T348" s="72">
        <f t="shared" si="21"/>
        <v>8</v>
      </c>
      <c r="U348" s="72">
        <f t="shared" si="22"/>
        <v>1</v>
      </c>
      <c r="V348" s="86">
        <f t="shared" si="23"/>
        <v>0</v>
      </c>
    </row>
    <row r="349" spans="1:22" s="46" customFormat="1" ht="18" customHeight="1" thickBot="1" x14ac:dyDescent="0.3">
      <c r="A349" s="743"/>
      <c r="B349" s="756"/>
      <c r="C349" s="746"/>
      <c r="D349" s="750"/>
      <c r="E349" s="76"/>
      <c r="F349" s="76"/>
      <c r="G349" s="186"/>
      <c r="H349" s="764"/>
      <c r="I349" s="208" t="s">
        <v>100</v>
      </c>
      <c r="J349" s="209">
        <v>250</v>
      </c>
      <c r="K349" s="210"/>
      <c r="L349" s="234"/>
      <c r="M349" s="320" t="s">
        <v>486</v>
      </c>
      <c r="N349" s="209">
        <v>263</v>
      </c>
      <c r="O349" s="208">
        <v>2</v>
      </c>
      <c r="P349" s="209" t="s">
        <v>902</v>
      </c>
      <c r="Q349" s="241"/>
      <c r="R349" s="213" t="s">
        <v>488</v>
      </c>
      <c r="S349" s="72">
        <f>ROUND(N349/9,0)</f>
        <v>29</v>
      </c>
      <c r="T349" s="72">
        <f t="shared" si="21"/>
        <v>10</v>
      </c>
      <c r="U349" s="72">
        <f t="shared" si="22"/>
        <v>1</v>
      </c>
      <c r="V349" s="86">
        <f t="shared" si="23"/>
        <v>0</v>
      </c>
    </row>
    <row r="350" spans="1:22" s="46" customFormat="1" ht="18" customHeight="1" x14ac:dyDescent="0.25">
      <c r="A350" s="743"/>
      <c r="B350" s="756"/>
      <c r="C350" s="746"/>
      <c r="D350" s="750"/>
      <c r="E350" s="76"/>
      <c r="F350" s="76"/>
      <c r="G350" s="186"/>
      <c r="H350" s="766" t="s">
        <v>903</v>
      </c>
      <c r="I350" s="447" t="s">
        <v>904</v>
      </c>
      <c r="J350" s="457">
        <v>250</v>
      </c>
      <c r="K350" s="447"/>
      <c r="L350" s="448"/>
      <c r="M350" s="449"/>
      <c r="N350" s="458"/>
      <c r="O350" s="458"/>
      <c r="P350" s="447"/>
      <c r="Q350" s="448"/>
      <c r="R350" s="459"/>
      <c r="S350" s="72">
        <f t="shared" si="24"/>
        <v>0</v>
      </c>
      <c r="T350" s="72">
        <f t="shared" si="21"/>
        <v>0</v>
      </c>
      <c r="U350" s="96">
        <v>0</v>
      </c>
      <c r="V350" s="97">
        <v>0</v>
      </c>
    </row>
    <row r="351" spans="1:22" s="46" customFormat="1" ht="18" customHeight="1" x14ac:dyDescent="0.25">
      <c r="A351" s="743"/>
      <c r="B351" s="756"/>
      <c r="C351" s="746"/>
      <c r="D351" s="750"/>
      <c r="E351" s="76"/>
      <c r="F351" s="76"/>
      <c r="G351" s="186"/>
      <c r="H351" s="767"/>
      <c r="I351" s="397" t="s">
        <v>95</v>
      </c>
      <c r="J351" s="397">
        <v>400</v>
      </c>
      <c r="K351" s="397">
        <v>250</v>
      </c>
      <c r="L351" s="460"/>
      <c r="M351" s="461" t="s">
        <v>486</v>
      </c>
      <c r="N351" s="397">
        <v>113</v>
      </c>
      <c r="O351" s="397">
        <v>7</v>
      </c>
      <c r="P351" s="397" t="s">
        <v>905</v>
      </c>
      <c r="Q351" s="460"/>
      <c r="R351" s="462" t="s">
        <v>488</v>
      </c>
      <c r="S351" s="72">
        <f t="shared" si="24"/>
        <v>38</v>
      </c>
      <c r="T351" s="72">
        <f t="shared" si="21"/>
        <v>13</v>
      </c>
      <c r="U351" s="72">
        <f t="shared" si="22"/>
        <v>2</v>
      </c>
      <c r="V351" s="86">
        <f t="shared" si="23"/>
        <v>1</v>
      </c>
    </row>
    <row r="352" spans="1:22" s="46" customFormat="1" ht="18" customHeight="1" x14ac:dyDescent="0.25">
      <c r="A352" s="743"/>
      <c r="B352" s="756"/>
      <c r="C352" s="746"/>
      <c r="D352" s="750"/>
      <c r="E352" s="76"/>
      <c r="F352" s="76"/>
      <c r="G352" s="186"/>
      <c r="H352" s="768"/>
      <c r="I352" s="391" t="s">
        <v>906</v>
      </c>
      <c r="J352" s="391">
        <v>630</v>
      </c>
      <c r="K352" s="391">
        <v>630</v>
      </c>
      <c r="L352" s="392"/>
      <c r="M352" s="463" t="s">
        <v>486</v>
      </c>
      <c r="N352" s="391">
        <v>27</v>
      </c>
      <c r="O352" s="391">
        <v>4</v>
      </c>
      <c r="P352" s="391" t="s">
        <v>803</v>
      </c>
      <c r="Q352" s="392"/>
      <c r="R352" s="464" t="s">
        <v>488</v>
      </c>
      <c r="S352" s="72">
        <f t="shared" si="24"/>
        <v>9</v>
      </c>
      <c r="T352" s="72">
        <f t="shared" si="21"/>
        <v>3</v>
      </c>
      <c r="U352" s="72">
        <f t="shared" si="22"/>
        <v>1</v>
      </c>
      <c r="V352" s="86">
        <f t="shared" si="23"/>
        <v>0</v>
      </c>
    </row>
    <row r="353" spans="1:22" s="46" customFormat="1" ht="18" customHeight="1" x14ac:dyDescent="0.25">
      <c r="A353" s="743"/>
      <c r="B353" s="756"/>
      <c r="C353" s="746"/>
      <c r="D353" s="750"/>
      <c r="E353" s="76"/>
      <c r="F353" s="76"/>
      <c r="G353" s="186"/>
      <c r="H353" s="768"/>
      <c r="I353" s="391" t="s">
        <v>104</v>
      </c>
      <c r="J353" s="391">
        <v>630</v>
      </c>
      <c r="K353" s="418">
        <v>630</v>
      </c>
      <c r="L353" s="392"/>
      <c r="M353" s="463" t="s">
        <v>486</v>
      </c>
      <c r="N353" s="391">
        <v>336</v>
      </c>
      <c r="O353" s="391">
        <v>33</v>
      </c>
      <c r="P353" s="391" t="s">
        <v>803</v>
      </c>
      <c r="Q353" s="392"/>
      <c r="R353" s="464" t="s">
        <v>488</v>
      </c>
      <c r="S353" s="72">
        <f>ROUND(N353/6,0)</f>
        <v>56</v>
      </c>
      <c r="T353" s="72">
        <f t="shared" si="21"/>
        <v>19</v>
      </c>
      <c r="U353" s="72">
        <f t="shared" si="22"/>
        <v>11</v>
      </c>
      <c r="V353" s="86">
        <f t="shared" si="23"/>
        <v>4</v>
      </c>
    </row>
    <row r="354" spans="1:22" s="46" customFormat="1" ht="18" customHeight="1" thickBot="1" x14ac:dyDescent="0.3">
      <c r="A354" s="743"/>
      <c r="B354" s="756"/>
      <c r="C354" s="746"/>
      <c r="D354" s="750"/>
      <c r="E354" s="76"/>
      <c r="F354" s="76"/>
      <c r="G354" s="186"/>
      <c r="H354" s="769"/>
      <c r="I354" s="400" t="s">
        <v>90</v>
      </c>
      <c r="J354" s="400">
        <v>630</v>
      </c>
      <c r="K354" s="421">
        <v>630</v>
      </c>
      <c r="L354" s="423"/>
      <c r="M354" s="424" t="s">
        <v>486</v>
      </c>
      <c r="N354" s="400">
        <v>524</v>
      </c>
      <c r="O354" s="400">
        <v>44</v>
      </c>
      <c r="P354" s="400" t="s">
        <v>803</v>
      </c>
      <c r="Q354" s="423"/>
      <c r="R354" s="425" t="s">
        <v>488</v>
      </c>
      <c r="S354" s="72">
        <f>ROUND(N354/9,0)</f>
        <v>58</v>
      </c>
      <c r="T354" s="72">
        <f t="shared" si="21"/>
        <v>19</v>
      </c>
      <c r="U354" s="72">
        <f t="shared" si="22"/>
        <v>15</v>
      </c>
      <c r="V354" s="86">
        <f t="shared" si="23"/>
        <v>5</v>
      </c>
    </row>
    <row r="355" spans="1:22" s="46" customFormat="1" ht="18" customHeight="1" thickBot="1" x14ac:dyDescent="0.3">
      <c r="A355" s="743"/>
      <c r="B355" s="756"/>
      <c r="C355" s="746"/>
      <c r="D355" s="750"/>
      <c r="E355" s="76"/>
      <c r="F355" s="76"/>
      <c r="G355" s="186"/>
      <c r="H355" s="769"/>
      <c r="I355" s="208" t="s">
        <v>83</v>
      </c>
      <c r="J355" s="209">
        <v>100</v>
      </c>
      <c r="K355" s="210"/>
      <c r="L355" s="234"/>
      <c r="M355" s="212" t="s">
        <v>486</v>
      </c>
      <c r="N355" s="209">
        <v>0</v>
      </c>
      <c r="O355" s="208">
        <v>7</v>
      </c>
      <c r="P355" s="209" t="s">
        <v>737</v>
      </c>
      <c r="Q355" s="208" t="s">
        <v>907</v>
      </c>
      <c r="R355" s="213" t="s">
        <v>488</v>
      </c>
      <c r="S355" s="72">
        <f t="shared" si="24"/>
        <v>0</v>
      </c>
      <c r="T355" s="72">
        <f t="shared" si="21"/>
        <v>0</v>
      </c>
      <c r="U355" s="189">
        <v>7</v>
      </c>
      <c r="V355" s="297">
        <v>7</v>
      </c>
    </row>
    <row r="356" spans="1:22" s="46" customFormat="1" ht="18" customHeight="1" x14ac:dyDescent="0.25">
      <c r="A356" s="743"/>
      <c r="B356" s="756"/>
      <c r="C356" s="746"/>
      <c r="D356" s="750"/>
      <c r="E356" s="76"/>
      <c r="F356" s="76"/>
      <c r="G356" s="186"/>
      <c r="H356" s="465"/>
      <c r="I356" s="466" t="s">
        <v>908</v>
      </c>
      <c r="J356" s="467">
        <v>160</v>
      </c>
      <c r="K356" s="468"/>
      <c r="L356" s="468"/>
      <c r="M356" s="469" t="s">
        <v>486</v>
      </c>
      <c r="N356" s="467">
        <v>0</v>
      </c>
      <c r="O356" s="467">
        <v>2</v>
      </c>
      <c r="P356" s="467" t="s">
        <v>810</v>
      </c>
      <c r="Q356" s="467" t="s">
        <v>909</v>
      </c>
      <c r="R356" s="470" t="s">
        <v>910</v>
      </c>
      <c r="S356" s="72">
        <f t="shared" si="24"/>
        <v>0</v>
      </c>
      <c r="T356" s="72">
        <f t="shared" si="21"/>
        <v>0</v>
      </c>
      <c r="U356" s="244">
        <v>2</v>
      </c>
      <c r="V356" s="188">
        <v>2</v>
      </c>
    </row>
    <row r="357" spans="1:22" s="46" customFormat="1" ht="18" customHeight="1" x14ac:dyDescent="0.25">
      <c r="A357" s="743"/>
      <c r="B357" s="756"/>
      <c r="C357" s="746"/>
      <c r="D357" s="750"/>
      <c r="E357" s="76"/>
      <c r="F357" s="76"/>
      <c r="G357" s="186"/>
      <c r="H357" s="471"/>
      <c r="I357" s="472" t="s">
        <v>911</v>
      </c>
      <c r="J357" s="391">
        <v>100</v>
      </c>
      <c r="K357" s="392"/>
      <c r="L357" s="392"/>
      <c r="M357" s="463" t="s">
        <v>486</v>
      </c>
      <c r="N357" s="391">
        <v>0</v>
      </c>
      <c r="O357" s="391">
        <v>9</v>
      </c>
      <c r="P357" s="391" t="s">
        <v>912</v>
      </c>
      <c r="Q357" s="392"/>
      <c r="R357" s="464" t="s">
        <v>488</v>
      </c>
      <c r="S357" s="72">
        <f t="shared" si="24"/>
        <v>0</v>
      </c>
      <c r="T357" s="72">
        <f t="shared" si="21"/>
        <v>0</v>
      </c>
      <c r="U357" s="189">
        <v>9</v>
      </c>
      <c r="V357" s="297">
        <v>9</v>
      </c>
    </row>
    <row r="358" spans="1:22" s="46" customFormat="1" ht="18" customHeight="1" x14ac:dyDescent="0.25">
      <c r="A358" s="743"/>
      <c r="B358" s="756"/>
      <c r="C358" s="746"/>
      <c r="D358" s="750"/>
      <c r="E358" s="76"/>
      <c r="F358" s="76"/>
      <c r="G358" s="186"/>
      <c r="H358" s="471"/>
      <c r="I358" s="473" t="s">
        <v>913</v>
      </c>
      <c r="J358" s="106">
        <v>250</v>
      </c>
      <c r="K358" s="383"/>
      <c r="L358" s="383"/>
      <c r="M358" s="107" t="s">
        <v>486</v>
      </c>
      <c r="N358" s="106">
        <v>0</v>
      </c>
      <c r="O358" s="106">
        <v>1</v>
      </c>
      <c r="P358" s="106" t="s">
        <v>912</v>
      </c>
      <c r="Q358" s="106" t="s">
        <v>914</v>
      </c>
      <c r="R358" s="108" t="s">
        <v>915</v>
      </c>
      <c r="S358" s="72">
        <f t="shared" si="24"/>
        <v>0</v>
      </c>
      <c r="T358" s="72">
        <f t="shared" si="21"/>
        <v>0</v>
      </c>
      <c r="U358" s="244">
        <v>1</v>
      </c>
      <c r="V358" s="188">
        <v>1</v>
      </c>
    </row>
    <row r="359" spans="1:22" s="46" customFormat="1" ht="18" customHeight="1" thickBot="1" x14ac:dyDescent="0.3">
      <c r="A359" s="743"/>
      <c r="B359" s="756"/>
      <c r="C359" s="746"/>
      <c r="D359" s="750"/>
      <c r="E359" s="76"/>
      <c r="F359" s="76"/>
      <c r="G359" s="186"/>
      <c r="H359" s="474" t="s">
        <v>916</v>
      </c>
      <c r="I359" s="475" t="s">
        <v>917</v>
      </c>
      <c r="J359" s="476">
        <v>160</v>
      </c>
      <c r="K359" s="477"/>
      <c r="L359" s="477"/>
      <c r="M359" s="478"/>
      <c r="N359" s="479"/>
      <c r="O359" s="479"/>
      <c r="P359" s="476"/>
      <c r="Q359" s="476"/>
      <c r="R359" s="480"/>
      <c r="S359" s="72">
        <f t="shared" si="24"/>
        <v>0</v>
      </c>
      <c r="T359" s="72">
        <f t="shared" si="21"/>
        <v>0</v>
      </c>
      <c r="U359" s="96">
        <v>0</v>
      </c>
      <c r="V359" s="97">
        <v>0</v>
      </c>
    </row>
    <row r="360" spans="1:22" s="46" customFormat="1" ht="18" customHeight="1" thickBot="1" x14ac:dyDescent="0.3">
      <c r="A360" s="743"/>
      <c r="B360" s="756"/>
      <c r="C360" s="56" t="s">
        <v>918</v>
      </c>
      <c r="D360" s="53"/>
      <c r="E360" s="481"/>
      <c r="F360" s="482"/>
      <c r="G360" s="483"/>
      <c r="H360" s="484"/>
      <c r="I360" s="304" t="s">
        <v>268</v>
      </c>
      <c r="J360" s="485">
        <v>630</v>
      </c>
      <c r="K360" s="197"/>
      <c r="L360" s="395"/>
      <c r="M360" s="331" t="s">
        <v>486</v>
      </c>
      <c r="N360" s="485">
        <v>1</v>
      </c>
      <c r="O360" s="304">
        <v>2</v>
      </c>
      <c r="P360" s="485" t="s">
        <v>739</v>
      </c>
      <c r="Q360" s="304" t="s">
        <v>919</v>
      </c>
      <c r="R360" s="431" t="s">
        <v>920</v>
      </c>
      <c r="S360" s="72">
        <f t="shared" si="24"/>
        <v>0</v>
      </c>
      <c r="T360" s="72">
        <f t="shared" si="21"/>
        <v>0</v>
      </c>
      <c r="U360" s="72">
        <f t="shared" si="22"/>
        <v>1</v>
      </c>
      <c r="V360" s="86">
        <f t="shared" si="23"/>
        <v>0</v>
      </c>
    </row>
    <row r="361" spans="1:22" s="46" customFormat="1" ht="18" customHeight="1" x14ac:dyDescent="0.25">
      <c r="A361" s="743"/>
      <c r="B361" s="756"/>
      <c r="C361" s="745" t="s">
        <v>921</v>
      </c>
      <c r="D361" s="749"/>
      <c r="E361" s="486"/>
      <c r="F361" s="487"/>
      <c r="G361" s="488"/>
      <c r="H361" s="242"/>
      <c r="I361" s="262" t="s">
        <v>922</v>
      </c>
      <c r="J361" s="263">
        <v>63</v>
      </c>
      <c r="K361" s="264"/>
      <c r="L361" s="265"/>
      <c r="M361" s="266" t="s">
        <v>486</v>
      </c>
      <c r="N361" s="263">
        <v>0</v>
      </c>
      <c r="O361" s="262">
        <v>1</v>
      </c>
      <c r="P361" s="263" t="s">
        <v>923</v>
      </c>
      <c r="Q361" s="301" t="s">
        <v>924</v>
      </c>
      <c r="R361" s="269" t="s">
        <v>925</v>
      </c>
      <c r="S361" s="72">
        <f t="shared" si="24"/>
        <v>0</v>
      </c>
      <c r="T361" s="72">
        <f t="shared" si="21"/>
        <v>0</v>
      </c>
      <c r="U361" s="244">
        <v>1</v>
      </c>
      <c r="V361" s="188">
        <v>1</v>
      </c>
    </row>
    <row r="362" spans="1:22" s="46" customFormat="1" ht="18" customHeight="1" x14ac:dyDescent="0.25">
      <c r="A362" s="743"/>
      <c r="B362" s="756"/>
      <c r="C362" s="746"/>
      <c r="D362" s="750"/>
      <c r="E362" s="489"/>
      <c r="F362" s="487"/>
      <c r="G362" s="250"/>
      <c r="H362" s="228"/>
      <c r="I362" s="88" t="s">
        <v>249</v>
      </c>
      <c r="J362" s="89">
        <v>100</v>
      </c>
      <c r="K362" s="90"/>
      <c r="L362" s="229"/>
      <c r="M362" s="92" t="s">
        <v>486</v>
      </c>
      <c r="N362" s="89">
        <v>0</v>
      </c>
      <c r="O362" s="88">
        <v>1</v>
      </c>
      <c r="P362" s="89" t="s">
        <v>926</v>
      </c>
      <c r="Q362" s="88" t="s">
        <v>530</v>
      </c>
      <c r="R362" s="95" t="s">
        <v>250</v>
      </c>
      <c r="S362" s="72">
        <f t="shared" si="24"/>
        <v>0</v>
      </c>
      <c r="T362" s="72">
        <f t="shared" si="21"/>
        <v>0</v>
      </c>
      <c r="U362" s="244">
        <v>1</v>
      </c>
      <c r="V362" s="188">
        <v>1</v>
      </c>
    </row>
    <row r="363" spans="1:22" s="46" customFormat="1" ht="18" customHeight="1" x14ac:dyDescent="0.25">
      <c r="A363" s="743"/>
      <c r="B363" s="756"/>
      <c r="C363" s="746"/>
      <c r="D363" s="750"/>
      <c r="E363" s="489"/>
      <c r="F363" s="487"/>
      <c r="G363" s="250"/>
      <c r="H363" s="228"/>
      <c r="I363" s="79" t="s">
        <v>927</v>
      </c>
      <c r="J363" s="80">
        <v>250</v>
      </c>
      <c r="K363" s="81"/>
      <c r="L363" s="230"/>
      <c r="M363" s="83" t="s">
        <v>486</v>
      </c>
      <c r="N363" s="80">
        <v>47</v>
      </c>
      <c r="O363" s="79">
        <v>7</v>
      </c>
      <c r="P363" s="80" t="s">
        <v>926</v>
      </c>
      <c r="Q363" s="81"/>
      <c r="R363" s="85" t="s">
        <v>488</v>
      </c>
      <c r="S363" s="72">
        <f t="shared" si="24"/>
        <v>16</v>
      </c>
      <c r="T363" s="72">
        <f t="shared" si="21"/>
        <v>5</v>
      </c>
      <c r="U363" s="72">
        <f t="shared" si="22"/>
        <v>2</v>
      </c>
      <c r="V363" s="86">
        <f t="shared" si="23"/>
        <v>1</v>
      </c>
    </row>
    <row r="364" spans="1:22" s="46" customFormat="1" ht="18" customHeight="1" thickBot="1" x14ac:dyDescent="0.3">
      <c r="A364" s="743"/>
      <c r="B364" s="756"/>
      <c r="C364" s="746"/>
      <c r="D364" s="750"/>
      <c r="E364" s="489"/>
      <c r="F364" s="487"/>
      <c r="G364" s="490"/>
      <c r="H364" s="233"/>
      <c r="I364" s="101" t="s">
        <v>928</v>
      </c>
      <c r="J364" s="102">
        <v>100</v>
      </c>
      <c r="K364" s="103"/>
      <c r="L364" s="281"/>
      <c r="M364" s="105" t="s">
        <v>486</v>
      </c>
      <c r="N364" s="102">
        <v>0</v>
      </c>
      <c r="O364" s="101">
        <v>1</v>
      </c>
      <c r="P364" s="102" t="s">
        <v>192</v>
      </c>
      <c r="Q364" s="101" t="s">
        <v>929</v>
      </c>
      <c r="R364" s="282" t="s">
        <v>930</v>
      </c>
      <c r="S364" s="72">
        <f t="shared" si="24"/>
        <v>0</v>
      </c>
      <c r="T364" s="72">
        <f t="shared" si="21"/>
        <v>0</v>
      </c>
      <c r="U364" s="244">
        <v>1</v>
      </c>
      <c r="V364" s="188">
        <v>1</v>
      </c>
    </row>
    <row r="365" spans="1:22" s="46" customFormat="1" ht="18" customHeight="1" x14ac:dyDescent="0.25">
      <c r="A365" s="743"/>
      <c r="B365" s="756"/>
      <c r="C365" s="746"/>
      <c r="D365" s="750"/>
      <c r="E365" s="489"/>
      <c r="F365" s="487"/>
      <c r="G365" s="774" t="s">
        <v>931</v>
      </c>
      <c r="H365" s="242"/>
      <c r="I365" s="67" t="s">
        <v>111</v>
      </c>
      <c r="J365" s="68">
        <v>400</v>
      </c>
      <c r="K365" s="178"/>
      <c r="L365" s="243"/>
      <c r="M365" s="70" t="s">
        <v>486</v>
      </c>
      <c r="N365" s="68">
        <v>221</v>
      </c>
      <c r="O365" s="67">
        <v>4</v>
      </c>
      <c r="P365" s="68" t="s">
        <v>932</v>
      </c>
      <c r="Q365" s="178"/>
      <c r="R365" s="71" t="s">
        <v>488</v>
      </c>
      <c r="S365" s="72">
        <f>ROUND(N365/6,0)</f>
        <v>37</v>
      </c>
      <c r="T365" s="72">
        <f t="shared" si="21"/>
        <v>12</v>
      </c>
      <c r="U365" s="72">
        <f t="shared" si="22"/>
        <v>1</v>
      </c>
      <c r="V365" s="86">
        <f t="shared" si="23"/>
        <v>0</v>
      </c>
    </row>
    <row r="366" spans="1:22" s="46" customFormat="1" ht="18" customHeight="1" thickBot="1" x14ac:dyDescent="0.3">
      <c r="A366" s="743"/>
      <c r="B366" s="756"/>
      <c r="C366" s="746"/>
      <c r="D366" s="750"/>
      <c r="E366" s="489"/>
      <c r="F366" s="487"/>
      <c r="G366" s="775"/>
      <c r="H366" s="233"/>
      <c r="I366" s="208" t="s">
        <v>112</v>
      </c>
      <c r="J366" s="209">
        <v>250</v>
      </c>
      <c r="K366" s="210"/>
      <c r="L366" s="234"/>
      <c r="M366" s="212" t="s">
        <v>486</v>
      </c>
      <c r="N366" s="209">
        <v>207</v>
      </c>
      <c r="O366" s="208">
        <v>12</v>
      </c>
      <c r="P366" s="209" t="s">
        <v>932</v>
      </c>
      <c r="Q366" s="210"/>
      <c r="R366" s="213" t="s">
        <v>488</v>
      </c>
      <c r="S366" s="72">
        <f>ROUND(N366/6,0)</f>
        <v>35</v>
      </c>
      <c r="T366" s="72">
        <f t="shared" si="21"/>
        <v>12</v>
      </c>
      <c r="U366" s="72">
        <f t="shared" si="22"/>
        <v>4</v>
      </c>
      <c r="V366" s="86">
        <f t="shared" si="23"/>
        <v>1</v>
      </c>
    </row>
    <row r="367" spans="1:22" s="46" customFormat="1" ht="18" customHeight="1" x14ac:dyDescent="0.25">
      <c r="A367" s="743"/>
      <c r="B367" s="756"/>
      <c r="C367" s="746"/>
      <c r="D367" s="750"/>
      <c r="E367" s="77"/>
      <c r="F367" s="487"/>
      <c r="G367" s="775"/>
      <c r="H367" s="736" t="s">
        <v>933</v>
      </c>
      <c r="I367" s="262" t="s">
        <v>934</v>
      </c>
      <c r="J367" s="263">
        <v>50</v>
      </c>
      <c r="K367" s="264"/>
      <c r="L367" s="265"/>
      <c r="M367" s="266" t="s">
        <v>486</v>
      </c>
      <c r="N367" s="263">
        <v>0</v>
      </c>
      <c r="O367" s="262">
        <v>1</v>
      </c>
      <c r="P367" s="263" t="s">
        <v>775</v>
      </c>
      <c r="Q367" s="264" t="s">
        <v>935</v>
      </c>
      <c r="R367" s="269" t="s">
        <v>936</v>
      </c>
      <c r="S367" s="72">
        <f t="shared" si="24"/>
        <v>0</v>
      </c>
      <c r="T367" s="72">
        <f t="shared" si="21"/>
        <v>0</v>
      </c>
      <c r="U367" s="244">
        <v>1</v>
      </c>
      <c r="V367" s="188">
        <v>1</v>
      </c>
    </row>
    <row r="368" spans="1:22" s="46" customFormat="1" ht="18" customHeight="1" x14ac:dyDescent="0.25">
      <c r="A368" s="743"/>
      <c r="B368" s="756"/>
      <c r="C368" s="746"/>
      <c r="D368" s="750"/>
      <c r="E368" s="77"/>
      <c r="F368" s="487"/>
      <c r="G368" s="775"/>
      <c r="H368" s="737"/>
      <c r="I368" s="79" t="s">
        <v>113</v>
      </c>
      <c r="J368" s="80">
        <v>100</v>
      </c>
      <c r="K368" s="81"/>
      <c r="L368" s="230"/>
      <c r="M368" s="83" t="s">
        <v>486</v>
      </c>
      <c r="N368" s="80">
        <v>146</v>
      </c>
      <c r="O368" s="79">
        <v>7</v>
      </c>
      <c r="P368" s="80" t="s">
        <v>775</v>
      </c>
      <c r="Q368" s="81"/>
      <c r="R368" s="85" t="s">
        <v>488</v>
      </c>
      <c r="S368" s="72">
        <f t="shared" si="24"/>
        <v>49</v>
      </c>
      <c r="T368" s="72">
        <f t="shared" si="21"/>
        <v>16</v>
      </c>
      <c r="U368" s="72">
        <f t="shared" si="22"/>
        <v>2</v>
      </c>
      <c r="V368" s="86">
        <f t="shared" si="23"/>
        <v>1</v>
      </c>
    </row>
    <row r="369" spans="1:22" s="46" customFormat="1" ht="18" customHeight="1" x14ac:dyDescent="0.25">
      <c r="A369" s="743"/>
      <c r="B369" s="756"/>
      <c r="C369" s="746"/>
      <c r="D369" s="750"/>
      <c r="E369" s="77"/>
      <c r="F369" s="487"/>
      <c r="G369" s="775"/>
      <c r="H369" s="737"/>
      <c r="I369" s="79" t="s">
        <v>199</v>
      </c>
      <c r="J369" s="80">
        <v>160</v>
      </c>
      <c r="K369" s="81"/>
      <c r="L369" s="230"/>
      <c r="M369" s="83" t="s">
        <v>486</v>
      </c>
      <c r="N369" s="80">
        <v>112</v>
      </c>
      <c r="O369" s="79">
        <v>7</v>
      </c>
      <c r="P369" s="80" t="s">
        <v>775</v>
      </c>
      <c r="Q369" s="81"/>
      <c r="R369" s="85" t="s">
        <v>488</v>
      </c>
      <c r="S369" s="72">
        <f t="shared" si="24"/>
        <v>37</v>
      </c>
      <c r="T369" s="72">
        <f t="shared" si="21"/>
        <v>12</v>
      </c>
      <c r="U369" s="72">
        <f t="shared" si="22"/>
        <v>2</v>
      </c>
      <c r="V369" s="86">
        <f t="shared" si="23"/>
        <v>1</v>
      </c>
    </row>
    <row r="370" spans="1:22" s="46" customFormat="1" ht="18" customHeight="1" x14ac:dyDescent="0.25">
      <c r="A370" s="743"/>
      <c r="B370" s="756"/>
      <c r="C370" s="746"/>
      <c r="D370" s="750"/>
      <c r="E370" s="77"/>
      <c r="F370" s="487"/>
      <c r="G370" s="775"/>
      <c r="H370" s="737"/>
      <c r="I370" s="79" t="s">
        <v>200</v>
      </c>
      <c r="J370" s="80">
        <v>100</v>
      </c>
      <c r="K370" s="81"/>
      <c r="L370" s="230"/>
      <c r="M370" s="83" t="s">
        <v>486</v>
      </c>
      <c r="N370" s="80">
        <v>112</v>
      </c>
      <c r="O370" s="79">
        <v>5</v>
      </c>
      <c r="P370" s="80" t="s">
        <v>775</v>
      </c>
      <c r="Q370" s="81"/>
      <c r="R370" s="85" t="s">
        <v>488</v>
      </c>
      <c r="S370" s="72">
        <f t="shared" si="24"/>
        <v>37</v>
      </c>
      <c r="T370" s="72">
        <f t="shared" si="21"/>
        <v>12</v>
      </c>
      <c r="U370" s="72">
        <f t="shared" si="22"/>
        <v>2</v>
      </c>
      <c r="V370" s="86">
        <f t="shared" si="23"/>
        <v>1</v>
      </c>
    </row>
    <row r="371" spans="1:22" s="46" customFormat="1" ht="18" customHeight="1" x14ac:dyDescent="0.25">
      <c r="A371" s="743"/>
      <c r="B371" s="756"/>
      <c r="C371" s="746"/>
      <c r="D371" s="750"/>
      <c r="E371" s="77"/>
      <c r="F371" s="487"/>
      <c r="G371" s="775"/>
      <c r="H371" s="737"/>
      <c r="I371" s="79" t="s">
        <v>937</v>
      </c>
      <c r="J371" s="80">
        <v>100</v>
      </c>
      <c r="K371" s="81"/>
      <c r="L371" s="230"/>
      <c r="M371" s="83" t="s">
        <v>486</v>
      </c>
      <c r="N371" s="80">
        <v>71</v>
      </c>
      <c r="O371" s="79">
        <v>1</v>
      </c>
      <c r="P371" s="80" t="s">
        <v>775</v>
      </c>
      <c r="Q371" s="81"/>
      <c r="R371" s="85" t="s">
        <v>488</v>
      </c>
      <c r="S371" s="72">
        <f t="shared" si="24"/>
        <v>24</v>
      </c>
      <c r="T371" s="72">
        <f t="shared" si="21"/>
        <v>8</v>
      </c>
      <c r="U371" s="72">
        <f t="shared" si="22"/>
        <v>0</v>
      </c>
      <c r="V371" s="86">
        <f t="shared" si="23"/>
        <v>0</v>
      </c>
    </row>
    <row r="372" spans="1:22" s="46" customFormat="1" ht="18" customHeight="1" thickBot="1" x14ac:dyDescent="0.3">
      <c r="A372" s="743"/>
      <c r="B372" s="756"/>
      <c r="C372" s="773"/>
      <c r="D372" s="754"/>
      <c r="E372" s="491"/>
      <c r="F372" s="487"/>
      <c r="G372" s="776"/>
      <c r="H372" s="738"/>
      <c r="I372" s="179" t="s">
        <v>114</v>
      </c>
      <c r="J372" s="180">
        <v>100</v>
      </c>
      <c r="K372" s="179"/>
      <c r="L372" s="238"/>
      <c r="M372" s="183" t="s">
        <v>486</v>
      </c>
      <c r="N372" s="180">
        <v>99</v>
      </c>
      <c r="O372" s="179">
        <v>9</v>
      </c>
      <c r="P372" s="180" t="s">
        <v>775</v>
      </c>
      <c r="Q372" s="273"/>
      <c r="R372" s="184" t="s">
        <v>488</v>
      </c>
      <c r="S372" s="72">
        <f t="shared" si="24"/>
        <v>33</v>
      </c>
      <c r="T372" s="72">
        <f t="shared" si="21"/>
        <v>11</v>
      </c>
      <c r="U372" s="72">
        <f t="shared" si="22"/>
        <v>3</v>
      </c>
      <c r="V372" s="86">
        <f t="shared" si="23"/>
        <v>1</v>
      </c>
    </row>
    <row r="373" spans="1:22" s="46" customFormat="1" ht="18" customHeight="1" thickBot="1" x14ac:dyDescent="0.3">
      <c r="A373" s="743"/>
      <c r="B373" s="756"/>
      <c r="C373" s="356" t="s">
        <v>938</v>
      </c>
      <c r="D373" s="322"/>
      <c r="E373" s="133"/>
      <c r="F373" s="133"/>
      <c r="G373" s="135"/>
      <c r="H373" s="133"/>
      <c r="I373" s="335" t="s">
        <v>741</v>
      </c>
      <c r="J373" s="356">
        <v>630</v>
      </c>
      <c r="K373" s="335">
        <v>100</v>
      </c>
      <c r="L373" s="492"/>
      <c r="M373" s="212" t="s">
        <v>486</v>
      </c>
      <c r="N373" s="356">
        <v>0</v>
      </c>
      <c r="O373" s="335">
        <v>1</v>
      </c>
      <c r="P373" s="356" t="s">
        <v>742</v>
      </c>
      <c r="Q373" s="335" t="s">
        <v>939</v>
      </c>
      <c r="R373" s="322" t="s">
        <v>743</v>
      </c>
      <c r="S373" s="72">
        <f t="shared" si="24"/>
        <v>0</v>
      </c>
      <c r="T373" s="72">
        <f t="shared" si="21"/>
        <v>0</v>
      </c>
      <c r="U373" s="189">
        <v>1</v>
      </c>
      <c r="V373" s="297">
        <v>1</v>
      </c>
    </row>
    <row r="374" spans="1:22" s="46" customFormat="1" ht="18" customHeight="1" x14ac:dyDescent="0.25">
      <c r="A374" s="743"/>
      <c r="B374" s="756"/>
      <c r="C374" s="748" t="s">
        <v>940</v>
      </c>
      <c r="D374" s="408"/>
      <c r="E374" s="64"/>
      <c r="F374" s="64"/>
      <c r="G374" s="185"/>
      <c r="H374" s="64"/>
      <c r="I374" s="262" t="s">
        <v>941</v>
      </c>
      <c r="J374" s="263">
        <v>250</v>
      </c>
      <c r="K374" s="262">
        <v>400</v>
      </c>
      <c r="L374" s="265"/>
      <c r="M374" s="266" t="s">
        <v>486</v>
      </c>
      <c r="N374" s="263">
        <v>0</v>
      </c>
      <c r="O374" s="262">
        <v>2</v>
      </c>
      <c r="P374" s="263" t="s">
        <v>192</v>
      </c>
      <c r="Q374" s="301" t="s">
        <v>942</v>
      </c>
      <c r="R374" s="269" t="s">
        <v>865</v>
      </c>
      <c r="S374" s="72">
        <f t="shared" si="24"/>
        <v>0</v>
      </c>
      <c r="T374" s="72">
        <f t="shared" si="21"/>
        <v>0</v>
      </c>
      <c r="U374" s="244">
        <v>2</v>
      </c>
      <c r="V374" s="188">
        <v>2</v>
      </c>
    </row>
    <row r="375" spans="1:22" s="46" customFormat="1" ht="18" customHeight="1" x14ac:dyDescent="0.25">
      <c r="A375" s="743"/>
      <c r="B375" s="756"/>
      <c r="C375" s="728"/>
      <c r="D375" s="322"/>
      <c r="E375" s="76"/>
      <c r="F375" s="76"/>
      <c r="G375" s="186"/>
      <c r="H375" s="76"/>
      <c r="I375" s="88" t="s">
        <v>943</v>
      </c>
      <c r="J375" s="89">
        <v>160</v>
      </c>
      <c r="K375" s="88"/>
      <c r="L375" s="229"/>
      <c r="M375" s="92" t="s">
        <v>486</v>
      </c>
      <c r="N375" s="89">
        <v>0</v>
      </c>
      <c r="O375" s="88">
        <v>2</v>
      </c>
      <c r="P375" s="89" t="s">
        <v>192</v>
      </c>
      <c r="Q375" s="88" t="s">
        <v>944</v>
      </c>
      <c r="R375" s="95" t="s">
        <v>945</v>
      </c>
      <c r="S375" s="72">
        <f t="shared" si="24"/>
        <v>0</v>
      </c>
      <c r="T375" s="72">
        <f t="shared" si="21"/>
        <v>0</v>
      </c>
      <c r="U375" s="244">
        <v>2</v>
      </c>
      <c r="V375" s="188">
        <v>2</v>
      </c>
    </row>
    <row r="376" spans="1:22" s="46" customFormat="1" ht="18" customHeight="1" thickBot="1" x14ac:dyDescent="0.3">
      <c r="A376" s="743"/>
      <c r="B376" s="756"/>
      <c r="C376" s="728"/>
      <c r="D376" s="322"/>
      <c r="E376" s="76"/>
      <c r="F376" s="76"/>
      <c r="G376" s="186"/>
      <c r="H376" s="76"/>
      <c r="I376" s="88" t="s">
        <v>946</v>
      </c>
      <c r="J376" s="89">
        <v>1600</v>
      </c>
      <c r="K376" s="90"/>
      <c r="L376" s="229"/>
      <c r="M376" s="92" t="s">
        <v>486</v>
      </c>
      <c r="N376" s="89">
        <v>0</v>
      </c>
      <c r="O376" s="88">
        <v>2</v>
      </c>
      <c r="P376" s="89" t="s">
        <v>192</v>
      </c>
      <c r="Q376" s="88" t="s">
        <v>947</v>
      </c>
      <c r="R376" s="95" t="s">
        <v>251</v>
      </c>
      <c r="S376" s="72">
        <f t="shared" si="24"/>
        <v>0</v>
      </c>
      <c r="T376" s="72">
        <f t="shared" si="21"/>
        <v>0</v>
      </c>
      <c r="U376" s="244">
        <v>2</v>
      </c>
      <c r="V376" s="188">
        <v>2</v>
      </c>
    </row>
    <row r="377" spans="1:22" s="46" customFormat="1" ht="18" customHeight="1" thickBot="1" x14ac:dyDescent="0.3">
      <c r="A377" s="743"/>
      <c r="B377" s="756"/>
      <c r="C377" s="56" t="s">
        <v>948</v>
      </c>
      <c r="D377" s="53" t="s">
        <v>949</v>
      </c>
      <c r="E377" s="47"/>
      <c r="F377" s="47"/>
      <c r="G377" s="48"/>
      <c r="H377" s="47"/>
      <c r="I377" s="347" t="s">
        <v>745</v>
      </c>
      <c r="J377" s="493"/>
      <c r="K377" s="352"/>
      <c r="L377" s="349"/>
      <c r="M377" s="350" t="s">
        <v>486</v>
      </c>
      <c r="N377" s="348">
        <v>0</v>
      </c>
      <c r="O377" s="347">
        <v>1</v>
      </c>
      <c r="P377" s="348" t="s">
        <v>742</v>
      </c>
      <c r="Q377" s="347" t="s">
        <v>950</v>
      </c>
      <c r="R377" s="351" t="s">
        <v>747</v>
      </c>
      <c r="S377" s="72">
        <f t="shared" si="24"/>
        <v>0</v>
      </c>
      <c r="T377" s="72">
        <f t="shared" si="21"/>
        <v>0</v>
      </c>
      <c r="U377" s="244">
        <v>1</v>
      </c>
      <c r="V377" s="188">
        <v>1</v>
      </c>
    </row>
    <row r="378" spans="1:22" s="46" customFormat="1" ht="18" customHeight="1" thickBot="1" x14ac:dyDescent="0.3">
      <c r="A378" s="743"/>
      <c r="B378" s="756"/>
      <c r="C378" s="56" t="s">
        <v>951</v>
      </c>
      <c r="D378" s="53" t="s">
        <v>952</v>
      </c>
      <c r="E378" s="47"/>
      <c r="F378" s="47"/>
      <c r="G378" s="48"/>
      <c r="H378" s="47"/>
      <c r="I378" s="347"/>
      <c r="J378" s="494"/>
      <c r="K378" s="352"/>
      <c r="L378" s="349"/>
      <c r="M378" s="350"/>
      <c r="N378" s="348"/>
      <c r="O378" s="347"/>
      <c r="P378" s="348"/>
      <c r="Q378" s="347"/>
      <c r="R378" s="351"/>
      <c r="S378" s="72">
        <f t="shared" si="24"/>
        <v>0</v>
      </c>
      <c r="T378" s="72">
        <f t="shared" si="21"/>
        <v>0</v>
      </c>
      <c r="U378" s="244">
        <v>0</v>
      </c>
      <c r="V378" s="188">
        <v>0</v>
      </c>
    </row>
    <row r="379" spans="1:22" s="46" customFormat="1" ht="18" customHeight="1" thickBot="1" x14ac:dyDescent="0.3">
      <c r="A379" s="743"/>
      <c r="B379" s="756"/>
      <c r="C379" s="356">
        <v>42</v>
      </c>
      <c r="D379" s="322"/>
      <c r="E379" s="133"/>
      <c r="F379" s="495"/>
      <c r="G379" s="135"/>
      <c r="H379" s="133"/>
      <c r="I379" s="225" t="s">
        <v>731</v>
      </c>
      <c r="J379" s="357"/>
      <c r="K379" s="358"/>
      <c r="L379" s="359"/>
      <c r="M379" s="105" t="s">
        <v>486</v>
      </c>
      <c r="N379" s="362">
        <v>0</v>
      </c>
      <c r="O379" s="225">
        <v>1</v>
      </c>
      <c r="P379" s="362" t="s">
        <v>732</v>
      </c>
      <c r="Q379" s="358"/>
      <c r="R379" s="363" t="s">
        <v>734</v>
      </c>
      <c r="S379" s="72">
        <f t="shared" si="24"/>
        <v>0</v>
      </c>
      <c r="T379" s="72">
        <f t="shared" si="21"/>
        <v>0</v>
      </c>
      <c r="U379" s="244">
        <v>1</v>
      </c>
      <c r="V379" s="188">
        <v>1</v>
      </c>
    </row>
    <row r="380" spans="1:22" s="46" customFormat="1" ht="18" customHeight="1" thickBot="1" x14ac:dyDescent="0.3">
      <c r="A380" s="744"/>
      <c r="B380" s="757"/>
      <c r="C380" s="56">
        <v>43</v>
      </c>
      <c r="D380" s="53"/>
      <c r="E380" s="47"/>
      <c r="F380" s="47"/>
      <c r="G380" s="48"/>
      <c r="H380" s="47"/>
      <c r="I380" s="347" t="s">
        <v>726</v>
      </c>
      <c r="J380" s="348">
        <v>1000</v>
      </c>
      <c r="K380" s="347">
        <v>1000</v>
      </c>
      <c r="L380" s="349"/>
      <c r="M380" s="350" t="s">
        <v>486</v>
      </c>
      <c r="N380" s="348">
        <v>0</v>
      </c>
      <c r="O380" s="347">
        <v>1</v>
      </c>
      <c r="P380" s="348" t="s">
        <v>727</v>
      </c>
      <c r="Q380" s="352" t="s">
        <v>953</v>
      </c>
      <c r="R380" s="351" t="s">
        <v>729</v>
      </c>
      <c r="S380" s="72">
        <f t="shared" si="24"/>
        <v>0</v>
      </c>
      <c r="T380" s="72">
        <f t="shared" si="21"/>
        <v>0</v>
      </c>
      <c r="U380" s="244">
        <v>1</v>
      </c>
      <c r="V380" s="188">
        <v>1</v>
      </c>
    </row>
    <row r="381" spans="1:22" s="46" customFormat="1" ht="18" customHeight="1" x14ac:dyDescent="0.25">
      <c r="A381" s="742" t="s">
        <v>954</v>
      </c>
      <c r="B381" s="755" t="s">
        <v>484</v>
      </c>
      <c r="C381" s="758" t="s">
        <v>955</v>
      </c>
      <c r="D381" s="750"/>
      <c r="E381" s="146"/>
      <c r="F381" s="146"/>
      <c r="G381" s="217"/>
      <c r="H381" s="146"/>
      <c r="I381" s="149" t="s">
        <v>223</v>
      </c>
      <c r="J381" s="150">
        <v>100</v>
      </c>
      <c r="K381" s="151"/>
      <c r="L381" s="292"/>
      <c r="M381" s="83" t="s">
        <v>486</v>
      </c>
      <c r="N381" s="150">
        <v>196</v>
      </c>
      <c r="O381" s="149">
        <v>5</v>
      </c>
      <c r="P381" s="150" t="s">
        <v>956</v>
      </c>
      <c r="Q381" s="151"/>
      <c r="R381" s="123" t="s">
        <v>488</v>
      </c>
      <c r="S381" s="72">
        <f>ROUND(N381/6,0)</f>
        <v>33</v>
      </c>
      <c r="T381" s="72">
        <f t="shared" si="21"/>
        <v>11</v>
      </c>
      <c r="U381" s="72">
        <f t="shared" si="22"/>
        <v>2</v>
      </c>
      <c r="V381" s="86">
        <f t="shared" si="23"/>
        <v>1</v>
      </c>
    </row>
    <row r="382" spans="1:22" s="46" customFormat="1" ht="18" customHeight="1" x14ac:dyDescent="0.25">
      <c r="A382" s="743"/>
      <c r="B382" s="756"/>
      <c r="C382" s="728"/>
      <c r="D382" s="750"/>
      <c r="E382" s="76"/>
      <c r="F382" s="76"/>
      <c r="G382" s="186"/>
      <c r="H382" s="76"/>
      <c r="I382" s="79" t="s">
        <v>225</v>
      </c>
      <c r="J382" s="80">
        <v>160</v>
      </c>
      <c r="K382" s="81"/>
      <c r="L382" s="230"/>
      <c r="M382" s="83" t="s">
        <v>486</v>
      </c>
      <c r="N382" s="80">
        <v>118</v>
      </c>
      <c r="O382" s="79">
        <v>1</v>
      </c>
      <c r="P382" s="80" t="s">
        <v>956</v>
      </c>
      <c r="Q382" s="81"/>
      <c r="R382" s="85" t="s">
        <v>488</v>
      </c>
      <c r="S382" s="72">
        <f t="shared" si="24"/>
        <v>39</v>
      </c>
      <c r="T382" s="72">
        <f t="shared" si="21"/>
        <v>13</v>
      </c>
      <c r="U382" s="72">
        <f t="shared" si="22"/>
        <v>0</v>
      </c>
      <c r="V382" s="86">
        <f t="shared" si="23"/>
        <v>0</v>
      </c>
    </row>
    <row r="383" spans="1:22" s="46" customFormat="1" ht="18" customHeight="1" x14ac:dyDescent="0.25">
      <c r="A383" s="743"/>
      <c r="B383" s="756"/>
      <c r="C383" s="728"/>
      <c r="D383" s="750"/>
      <c r="E383" s="76"/>
      <c r="F383" s="76"/>
      <c r="G383" s="186"/>
      <c r="H383" s="76"/>
      <c r="I383" s="79" t="s">
        <v>254</v>
      </c>
      <c r="J383" s="80">
        <v>25</v>
      </c>
      <c r="K383" s="81"/>
      <c r="L383" s="230"/>
      <c r="M383" s="83" t="s">
        <v>486</v>
      </c>
      <c r="N383" s="80">
        <v>9</v>
      </c>
      <c r="O383" s="79">
        <v>0</v>
      </c>
      <c r="P383" s="80" t="s">
        <v>956</v>
      </c>
      <c r="Q383" s="81"/>
      <c r="R383" s="85" t="s">
        <v>488</v>
      </c>
      <c r="S383" s="72">
        <f t="shared" si="24"/>
        <v>3</v>
      </c>
      <c r="T383" s="72">
        <f t="shared" si="21"/>
        <v>1</v>
      </c>
      <c r="U383" s="72">
        <f t="shared" si="22"/>
        <v>0</v>
      </c>
      <c r="V383" s="86">
        <f t="shared" si="23"/>
        <v>0</v>
      </c>
    </row>
    <row r="384" spans="1:22" s="46" customFormat="1" ht="18" customHeight="1" x14ac:dyDescent="0.25">
      <c r="A384" s="743"/>
      <c r="B384" s="756"/>
      <c r="C384" s="728"/>
      <c r="D384" s="750"/>
      <c r="E384" s="76"/>
      <c r="F384" s="76"/>
      <c r="G384" s="186"/>
      <c r="H384" s="76"/>
      <c r="I384" s="79" t="s">
        <v>232</v>
      </c>
      <c r="J384" s="80">
        <v>100</v>
      </c>
      <c r="K384" s="81"/>
      <c r="L384" s="230"/>
      <c r="M384" s="83" t="s">
        <v>486</v>
      </c>
      <c r="N384" s="80">
        <v>98</v>
      </c>
      <c r="O384" s="79">
        <v>4</v>
      </c>
      <c r="P384" s="80" t="s">
        <v>957</v>
      </c>
      <c r="Q384" s="81"/>
      <c r="R384" s="85" t="s">
        <v>488</v>
      </c>
      <c r="S384" s="72">
        <f t="shared" si="24"/>
        <v>33</v>
      </c>
      <c r="T384" s="72">
        <f t="shared" si="21"/>
        <v>11</v>
      </c>
      <c r="U384" s="72">
        <f t="shared" si="22"/>
        <v>1</v>
      </c>
      <c r="V384" s="86">
        <f t="shared" si="23"/>
        <v>0</v>
      </c>
    </row>
    <row r="385" spans="1:22" s="46" customFormat="1" ht="18" customHeight="1" thickBot="1" x14ac:dyDescent="0.3">
      <c r="A385" s="743"/>
      <c r="B385" s="756"/>
      <c r="C385" s="729"/>
      <c r="D385" s="754"/>
      <c r="E385" s="190"/>
      <c r="F385" s="190"/>
      <c r="G385" s="191"/>
      <c r="H385" s="190"/>
      <c r="I385" s="192" t="s">
        <v>958</v>
      </c>
      <c r="J385" s="193">
        <v>40</v>
      </c>
      <c r="K385" s="194"/>
      <c r="L385" s="303"/>
      <c r="M385" s="196" t="s">
        <v>486</v>
      </c>
      <c r="N385" s="193">
        <v>0</v>
      </c>
      <c r="O385" s="192">
        <v>1</v>
      </c>
      <c r="P385" s="193" t="s">
        <v>956</v>
      </c>
      <c r="Q385" s="192" t="s">
        <v>959</v>
      </c>
      <c r="R385" s="198" t="s">
        <v>279</v>
      </c>
      <c r="S385" s="72">
        <f t="shared" si="24"/>
        <v>0</v>
      </c>
      <c r="T385" s="72">
        <f t="shared" si="21"/>
        <v>0</v>
      </c>
      <c r="U385" s="244">
        <v>1</v>
      </c>
      <c r="V385" s="188">
        <v>1</v>
      </c>
    </row>
    <row r="386" spans="1:22" s="46" customFormat="1" ht="18" customHeight="1" x14ac:dyDescent="0.25">
      <c r="A386" s="743"/>
      <c r="B386" s="756"/>
      <c r="C386" s="758" t="s">
        <v>960</v>
      </c>
      <c r="D386" s="750"/>
      <c r="E386" s="496"/>
      <c r="F386" s="496"/>
      <c r="G386" s="497"/>
      <c r="H386" s="496"/>
      <c r="I386" s="149" t="s">
        <v>206</v>
      </c>
      <c r="J386" s="150">
        <v>160</v>
      </c>
      <c r="K386" s="151"/>
      <c r="L386" s="292"/>
      <c r="M386" s="83" t="s">
        <v>486</v>
      </c>
      <c r="N386" s="150">
        <v>108</v>
      </c>
      <c r="O386" s="149">
        <v>7</v>
      </c>
      <c r="P386" s="150" t="s">
        <v>961</v>
      </c>
      <c r="Q386" s="241"/>
      <c r="R386" s="123" t="s">
        <v>488</v>
      </c>
      <c r="S386" s="72">
        <f t="shared" si="24"/>
        <v>36</v>
      </c>
      <c r="T386" s="72">
        <f t="shared" si="21"/>
        <v>12</v>
      </c>
      <c r="U386" s="72">
        <f t="shared" si="22"/>
        <v>2</v>
      </c>
      <c r="V386" s="86">
        <f t="shared" si="23"/>
        <v>1</v>
      </c>
    </row>
    <row r="387" spans="1:22" s="46" customFormat="1" ht="18" customHeight="1" x14ac:dyDescent="0.25">
      <c r="A387" s="743"/>
      <c r="B387" s="756"/>
      <c r="C387" s="728"/>
      <c r="D387" s="750"/>
      <c r="E387" s="498"/>
      <c r="F387" s="498"/>
      <c r="G387" s="499"/>
      <c r="H387" s="498"/>
      <c r="I387" s="79" t="s">
        <v>257</v>
      </c>
      <c r="J387" s="80">
        <v>160</v>
      </c>
      <c r="K387" s="81"/>
      <c r="L387" s="230"/>
      <c r="M387" s="83" t="s">
        <v>486</v>
      </c>
      <c r="N387" s="80">
        <v>160</v>
      </c>
      <c r="O387" s="79">
        <v>1</v>
      </c>
      <c r="P387" s="80" t="s">
        <v>961</v>
      </c>
      <c r="Q387" s="81"/>
      <c r="R387" s="85" t="s">
        <v>488</v>
      </c>
      <c r="S387" s="72">
        <f t="shared" si="24"/>
        <v>53</v>
      </c>
      <c r="T387" s="72">
        <f t="shared" si="21"/>
        <v>18</v>
      </c>
      <c r="U387" s="72">
        <f t="shared" si="22"/>
        <v>0</v>
      </c>
      <c r="V387" s="86">
        <f t="shared" si="23"/>
        <v>0</v>
      </c>
    </row>
    <row r="388" spans="1:22" s="46" customFormat="1" ht="18" customHeight="1" thickBot="1" x14ac:dyDescent="0.3">
      <c r="A388" s="743"/>
      <c r="B388" s="756"/>
      <c r="C388" s="759"/>
      <c r="D388" s="750"/>
      <c r="E388" s="500"/>
      <c r="F388" s="500"/>
      <c r="G388" s="501"/>
      <c r="H388" s="500"/>
      <c r="I388" s="208" t="s">
        <v>233</v>
      </c>
      <c r="J388" s="209">
        <v>63</v>
      </c>
      <c r="K388" s="210"/>
      <c r="L388" s="234"/>
      <c r="M388" s="320" t="s">
        <v>486</v>
      </c>
      <c r="N388" s="209">
        <v>21</v>
      </c>
      <c r="O388" s="208">
        <v>0</v>
      </c>
      <c r="P388" s="209" t="s">
        <v>961</v>
      </c>
      <c r="Q388" s="241"/>
      <c r="R388" s="213" t="s">
        <v>488</v>
      </c>
      <c r="S388" s="72">
        <f t="shared" si="24"/>
        <v>7</v>
      </c>
      <c r="T388" s="72">
        <f t="shared" si="21"/>
        <v>2</v>
      </c>
      <c r="U388" s="72">
        <f t="shared" si="22"/>
        <v>0</v>
      </c>
      <c r="V388" s="86">
        <f t="shared" si="23"/>
        <v>0</v>
      </c>
    </row>
    <row r="389" spans="1:22" s="46" customFormat="1" ht="18" customHeight="1" x14ac:dyDescent="0.25">
      <c r="A389" s="743"/>
      <c r="B389" s="756"/>
      <c r="C389" s="745" t="s">
        <v>962</v>
      </c>
      <c r="D389" s="749"/>
      <c r="E389" s="502"/>
      <c r="F389" s="502"/>
      <c r="G389" s="503"/>
      <c r="H389" s="502"/>
      <c r="I389" s="67" t="s">
        <v>205</v>
      </c>
      <c r="J389" s="68">
        <v>100</v>
      </c>
      <c r="K389" s="178"/>
      <c r="L389" s="243"/>
      <c r="M389" s="70" t="s">
        <v>486</v>
      </c>
      <c r="N389" s="68">
        <v>119</v>
      </c>
      <c r="O389" s="67">
        <v>7</v>
      </c>
      <c r="P389" s="68" t="s">
        <v>961</v>
      </c>
      <c r="Q389" s="199"/>
      <c r="R389" s="71" t="s">
        <v>488</v>
      </c>
      <c r="S389" s="72">
        <f t="shared" si="24"/>
        <v>40</v>
      </c>
      <c r="T389" s="72">
        <f t="shared" si="21"/>
        <v>13</v>
      </c>
      <c r="U389" s="72">
        <f t="shared" si="22"/>
        <v>2</v>
      </c>
      <c r="V389" s="86">
        <f t="shared" si="23"/>
        <v>1</v>
      </c>
    </row>
    <row r="390" spans="1:22" s="46" customFormat="1" ht="18" customHeight="1" x14ac:dyDescent="0.25">
      <c r="A390" s="743"/>
      <c r="B390" s="756"/>
      <c r="C390" s="746"/>
      <c r="D390" s="750"/>
      <c r="E390" s="498"/>
      <c r="F390" s="498"/>
      <c r="G390" s="499"/>
      <c r="H390" s="498"/>
      <c r="I390" s="79" t="s">
        <v>224</v>
      </c>
      <c r="J390" s="80">
        <v>60</v>
      </c>
      <c r="K390" s="81"/>
      <c r="L390" s="230"/>
      <c r="M390" s="83" t="s">
        <v>486</v>
      </c>
      <c r="N390" s="80">
        <v>72</v>
      </c>
      <c r="O390" s="79">
        <v>0</v>
      </c>
      <c r="P390" s="80" t="s">
        <v>961</v>
      </c>
      <c r="Q390" s="81"/>
      <c r="R390" s="85" t="s">
        <v>488</v>
      </c>
      <c r="S390" s="72">
        <f t="shared" si="24"/>
        <v>24</v>
      </c>
      <c r="T390" s="72">
        <f t="shared" si="21"/>
        <v>8</v>
      </c>
      <c r="U390" s="72">
        <f t="shared" si="22"/>
        <v>0</v>
      </c>
      <c r="V390" s="86">
        <f t="shared" si="23"/>
        <v>0</v>
      </c>
    </row>
    <row r="391" spans="1:22" s="46" customFormat="1" ht="18" customHeight="1" thickBot="1" x14ac:dyDescent="0.3">
      <c r="A391" s="743"/>
      <c r="B391" s="757"/>
      <c r="C391" s="746"/>
      <c r="D391" s="750"/>
      <c r="E391" s="500"/>
      <c r="F391" s="500"/>
      <c r="G391" s="501"/>
      <c r="H391" s="500"/>
      <c r="I391" s="208" t="s">
        <v>211</v>
      </c>
      <c r="J391" s="209">
        <v>160</v>
      </c>
      <c r="K391" s="210"/>
      <c r="L391" s="234"/>
      <c r="M391" s="320" t="s">
        <v>486</v>
      </c>
      <c r="N391" s="209">
        <v>0</v>
      </c>
      <c r="O391" s="208">
        <v>1</v>
      </c>
      <c r="P391" s="209" t="s">
        <v>961</v>
      </c>
      <c r="Q391" s="241"/>
      <c r="R391" s="213" t="s">
        <v>488</v>
      </c>
      <c r="S391" s="72">
        <f t="shared" si="24"/>
        <v>0</v>
      </c>
      <c r="T391" s="72">
        <f t="shared" si="21"/>
        <v>0</v>
      </c>
      <c r="U391" s="189">
        <v>1</v>
      </c>
      <c r="V391" s="297">
        <v>1</v>
      </c>
    </row>
    <row r="392" spans="1:22" s="46" customFormat="1" ht="18" customHeight="1" x14ac:dyDescent="0.25">
      <c r="A392" s="743"/>
      <c r="B392" s="755" t="s">
        <v>699</v>
      </c>
      <c r="C392" s="739" t="s">
        <v>963</v>
      </c>
      <c r="D392" s="781"/>
      <c r="E392" s="504"/>
      <c r="F392" s="505"/>
      <c r="G392" s="505"/>
      <c r="H392" s="505"/>
      <c r="I392" s="447" t="s">
        <v>227</v>
      </c>
      <c r="J392" s="447">
        <v>160</v>
      </c>
      <c r="K392" s="448"/>
      <c r="L392" s="448"/>
      <c r="M392" s="449" t="s">
        <v>486</v>
      </c>
      <c r="N392" s="447">
        <v>88</v>
      </c>
      <c r="O392" s="447">
        <v>8</v>
      </c>
      <c r="P392" s="447" t="s">
        <v>231</v>
      </c>
      <c r="Q392" s="448"/>
      <c r="R392" s="450" t="s">
        <v>488</v>
      </c>
      <c r="S392" s="72">
        <f t="shared" si="24"/>
        <v>29</v>
      </c>
      <c r="T392" s="72">
        <f t="shared" si="21"/>
        <v>10</v>
      </c>
      <c r="U392" s="72">
        <f t="shared" si="22"/>
        <v>3</v>
      </c>
      <c r="V392" s="86">
        <f t="shared" si="23"/>
        <v>1</v>
      </c>
    </row>
    <row r="393" spans="1:22" s="46" customFormat="1" ht="18" customHeight="1" x14ac:dyDescent="0.25">
      <c r="A393" s="743"/>
      <c r="B393" s="756"/>
      <c r="C393" s="740"/>
      <c r="D393" s="782"/>
      <c r="E393" s="506"/>
      <c r="F393" s="507"/>
      <c r="G393" s="507"/>
      <c r="H393" s="507"/>
      <c r="I393" s="391" t="s">
        <v>230</v>
      </c>
      <c r="J393" s="391">
        <v>40</v>
      </c>
      <c r="K393" s="392"/>
      <c r="L393" s="392"/>
      <c r="M393" s="463" t="s">
        <v>486</v>
      </c>
      <c r="N393" s="391">
        <v>0</v>
      </c>
      <c r="O393" s="391">
        <v>2</v>
      </c>
      <c r="P393" s="391" t="s">
        <v>231</v>
      </c>
      <c r="Q393" s="392"/>
      <c r="R393" s="464" t="s">
        <v>488</v>
      </c>
      <c r="S393" s="72">
        <f t="shared" si="24"/>
        <v>0</v>
      </c>
      <c r="T393" s="72">
        <f t="shared" si="21"/>
        <v>0</v>
      </c>
      <c r="U393" s="189">
        <v>2</v>
      </c>
      <c r="V393" s="297">
        <v>2</v>
      </c>
    </row>
    <row r="394" spans="1:22" s="46" customFormat="1" ht="18" customHeight="1" x14ac:dyDescent="0.25">
      <c r="A394" s="743"/>
      <c r="B394" s="756"/>
      <c r="C394" s="740"/>
      <c r="D394" s="782"/>
      <c r="E394" s="506"/>
      <c r="F394" s="507"/>
      <c r="G394" s="507"/>
      <c r="H394" s="507"/>
      <c r="I394" s="508" t="s">
        <v>964</v>
      </c>
      <c r="J394" s="508">
        <v>50</v>
      </c>
      <c r="K394" s="509"/>
      <c r="L394" s="509"/>
      <c r="M394" s="510" t="s">
        <v>486</v>
      </c>
      <c r="N394" s="511"/>
      <c r="O394" s="511"/>
      <c r="P394" s="508" t="s">
        <v>231</v>
      </c>
      <c r="Q394" s="509"/>
      <c r="R394" s="512" t="s">
        <v>488</v>
      </c>
      <c r="S394" s="72">
        <f t="shared" si="24"/>
        <v>0</v>
      </c>
      <c r="T394" s="72">
        <f t="shared" ref="T394:T457" si="25">ROUND(S394/3,0)</f>
        <v>0</v>
      </c>
      <c r="U394" s="96">
        <v>0</v>
      </c>
      <c r="V394" s="97">
        <v>0</v>
      </c>
    </row>
    <row r="395" spans="1:22" s="46" customFormat="1" ht="18" customHeight="1" x14ac:dyDescent="0.25">
      <c r="A395" s="743"/>
      <c r="B395" s="756"/>
      <c r="C395" s="740"/>
      <c r="D395" s="782"/>
      <c r="E395" s="506"/>
      <c r="F395" s="507"/>
      <c r="G395" s="507"/>
      <c r="H395" s="507"/>
      <c r="I395" s="106" t="s">
        <v>965</v>
      </c>
      <c r="J395" s="106">
        <v>630</v>
      </c>
      <c r="K395" s="115">
        <v>63</v>
      </c>
      <c r="L395" s="383"/>
      <c r="M395" s="107" t="s">
        <v>486</v>
      </c>
      <c r="N395" s="106">
        <v>0</v>
      </c>
      <c r="O395" s="106">
        <v>1</v>
      </c>
      <c r="P395" s="106" t="s">
        <v>231</v>
      </c>
      <c r="Q395" s="106" t="s">
        <v>966</v>
      </c>
      <c r="R395" s="108" t="s">
        <v>251</v>
      </c>
      <c r="S395" s="72">
        <f t="shared" si="24"/>
        <v>0</v>
      </c>
      <c r="T395" s="72">
        <f t="shared" si="25"/>
        <v>0</v>
      </c>
      <c r="U395" s="244">
        <v>1</v>
      </c>
      <c r="V395" s="188">
        <v>1</v>
      </c>
    </row>
    <row r="396" spans="1:22" s="46" customFormat="1" ht="18" customHeight="1" x14ac:dyDescent="0.25">
      <c r="A396" s="743"/>
      <c r="B396" s="756"/>
      <c r="C396" s="740"/>
      <c r="D396" s="782"/>
      <c r="E396" s="506"/>
      <c r="F396" s="507"/>
      <c r="G396" s="507"/>
      <c r="H396" s="507"/>
      <c r="I396" s="106" t="s">
        <v>247</v>
      </c>
      <c r="J396" s="106">
        <v>180</v>
      </c>
      <c r="K396" s="383"/>
      <c r="L396" s="383"/>
      <c r="M396" s="107" t="s">
        <v>486</v>
      </c>
      <c r="N396" s="106">
        <v>8</v>
      </c>
      <c r="O396" s="106">
        <v>2</v>
      </c>
      <c r="P396" s="106" t="s">
        <v>231</v>
      </c>
      <c r="Q396" s="106" t="s">
        <v>967</v>
      </c>
      <c r="R396" s="108" t="s">
        <v>968</v>
      </c>
      <c r="S396" s="72">
        <f t="shared" si="24"/>
        <v>3</v>
      </c>
      <c r="T396" s="72">
        <f t="shared" si="25"/>
        <v>1</v>
      </c>
      <c r="U396" s="72">
        <f t="shared" ref="U396:U458" si="26">ROUND(O396/3,0)</f>
        <v>1</v>
      </c>
      <c r="V396" s="86">
        <f t="shared" ref="V396:V458" si="27">ROUND(U396/3,0)</f>
        <v>0</v>
      </c>
    </row>
    <row r="397" spans="1:22" s="46" customFormat="1" ht="18" customHeight="1" x14ac:dyDescent="0.25">
      <c r="A397" s="743"/>
      <c r="B397" s="756"/>
      <c r="C397" s="740"/>
      <c r="D397" s="782"/>
      <c r="E397" s="506"/>
      <c r="F397" s="507"/>
      <c r="G397" s="507"/>
      <c r="H397" s="507"/>
      <c r="I397" s="106" t="s">
        <v>969</v>
      </c>
      <c r="J397" s="106">
        <v>10</v>
      </c>
      <c r="K397" s="383"/>
      <c r="L397" s="383"/>
      <c r="M397" s="107" t="s">
        <v>486</v>
      </c>
      <c r="N397" s="106">
        <v>0</v>
      </c>
      <c r="O397" s="106">
        <v>1</v>
      </c>
      <c r="P397" s="106" t="s">
        <v>278</v>
      </c>
      <c r="Q397" s="106" t="s">
        <v>970</v>
      </c>
      <c r="R397" s="108" t="s">
        <v>971</v>
      </c>
      <c r="S397" s="72">
        <f t="shared" si="24"/>
        <v>0</v>
      </c>
      <c r="T397" s="72">
        <f t="shared" si="25"/>
        <v>0</v>
      </c>
      <c r="U397" s="244">
        <v>1</v>
      </c>
      <c r="V397" s="188">
        <v>1</v>
      </c>
    </row>
    <row r="398" spans="1:22" s="46" customFormat="1" ht="18" customHeight="1" x14ac:dyDescent="0.25">
      <c r="A398" s="743"/>
      <c r="B398" s="756"/>
      <c r="C398" s="740"/>
      <c r="D398" s="782"/>
      <c r="E398" s="506"/>
      <c r="F398" s="507"/>
      <c r="G398" s="507"/>
      <c r="H398" s="507"/>
      <c r="I398" s="106" t="s">
        <v>283</v>
      </c>
      <c r="J398" s="382">
        <v>40</v>
      </c>
      <c r="K398" s="513"/>
      <c r="L398" s="383"/>
      <c r="M398" s="107" t="s">
        <v>486</v>
      </c>
      <c r="N398" s="106">
        <v>0</v>
      </c>
      <c r="O398" s="106">
        <v>1</v>
      </c>
      <c r="P398" s="384"/>
      <c r="Q398" s="106"/>
      <c r="R398" s="385"/>
      <c r="S398" s="72">
        <f t="shared" si="24"/>
        <v>0</v>
      </c>
      <c r="T398" s="72">
        <f t="shared" si="25"/>
        <v>0</v>
      </c>
      <c r="U398" s="244">
        <v>1</v>
      </c>
      <c r="V398" s="188">
        <v>1</v>
      </c>
    </row>
    <row r="399" spans="1:22" s="46" customFormat="1" ht="18" customHeight="1" x14ac:dyDescent="0.25">
      <c r="A399" s="743"/>
      <c r="B399" s="756"/>
      <c r="C399" s="740"/>
      <c r="D399" s="782"/>
      <c r="E399" s="506"/>
      <c r="F399" s="507"/>
      <c r="G399" s="507"/>
      <c r="H399" s="507"/>
      <c r="I399" s="106" t="s">
        <v>972</v>
      </c>
      <c r="J399" s="106">
        <v>16</v>
      </c>
      <c r="K399" s="383"/>
      <c r="L399" s="383"/>
      <c r="M399" s="107" t="s">
        <v>486</v>
      </c>
      <c r="N399" s="106">
        <v>0</v>
      </c>
      <c r="O399" s="106">
        <v>1</v>
      </c>
      <c r="P399" s="106" t="s">
        <v>278</v>
      </c>
      <c r="Q399" s="106" t="s">
        <v>973</v>
      </c>
      <c r="R399" s="108" t="s">
        <v>974</v>
      </c>
      <c r="S399" s="72">
        <f t="shared" si="24"/>
        <v>0</v>
      </c>
      <c r="T399" s="72">
        <f t="shared" si="25"/>
        <v>0</v>
      </c>
      <c r="U399" s="244">
        <v>1</v>
      </c>
      <c r="V399" s="188">
        <v>1</v>
      </c>
    </row>
    <row r="400" spans="1:22" s="46" customFormat="1" ht="18" customHeight="1" x14ac:dyDescent="0.25">
      <c r="A400" s="743"/>
      <c r="B400" s="756"/>
      <c r="C400" s="740"/>
      <c r="D400" s="782"/>
      <c r="E400" s="506"/>
      <c r="F400" s="507"/>
      <c r="G400" s="507"/>
      <c r="H400" s="507"/>
      <c r="I400" s="106" t="s">
        <v>975</v>
      </c>
      <c r="J400" s="106">
        <v>16</v>
      </c>
      <c r="K400" s="106">
        <v>630</v>
      </c>
      <c r="L400" s="383"/>
      <c r="M400" s="107" t="s">
        <v>486</v>
      </c>
      <c r="N400" s="106">
        <v>0</v>
      </c>
      <c r="O400" s="106">
        <v>1</v>
      </c>
      <c r="P400" s="106" t="s">
        <v>278</v>
      </c>
      <c r="Q400" s="106" t="s">
        <v>976</v>
      </c>
      <c r="R400" s="108" t="s">
        <v>909</v>
      </c>
      <c r="S400" s="72">
        <f t="shared" si="24"/>
        <v>0</v>
      </c>
      <c r="T400" s="72">
        <f t="shared" si="25"/>
        <v>0</v>
      </c>
      <c r="U400" s="244">
        <v>1</v>
      </c>
      <c r="V400" s="188">
        <v>1</v>
      </c>
    </row>
    <row r="401" spans="1:22" s="46" customFormat="1" ht="18" customHeight="1" x14ac:dyDescent="0.25">
      <c r="A401" s="743"/>
      <c r="B401" s="756"/>
      <c r="C401" s="740"/>
      <c r="D401" s="782"/>
      <c r="E401" s="506"/>
      <c r="F401" s="507"/>
      <c r="G401" s="507"/>
      <c r="H401" s="507"/>
      <c r="I401" s="106" t="s">
        <v>977</v>
      </c>
      <c r="J401" s="106">
        <v>630</v>
      </c>
      <c r="K401" s="106">
        <v>160</v>
      </c>
      <c r="L401" s="383"/>
      <c r="M401" s="107" t="s">
        <v>486</v>
      </c>
      <c r="N401" s="106">
        <v>0</v>
      </c>
      <c r="O401" s="106">
        <v>3</v>
      </c>
      <c r="P401" s="106" t="s">
        <v>278</v>
      </c>
      <c r="Q401" s="106" t="s">
        <v>978</v>
      </c>
      <c r="R401" s="108" t="s">
        <v>683</v>
      </c>
      <c r="S401" s="72">
        <f t="shared" si="24"/>
        <v>0</v>
      </c>
      <c r="T401" s="72">
        <f t="shared" si="25"/>
        <v>0</v>
      </c>
      <c r="U401" s="244">
        <v>3</v>
      </c>
      <c r="V401" s="188">
        <v>3</v>
      </c>
    </row>
    <row r="402" spans="1:22" s="46" customFormat="1" ht="18" customHeight="1" x14ac:dyDescent="0.25">
      <c r="A402" s="743"/>
      <c r="B402" s="756"/>
      <c r="C402" s="740"/>
      <c r="D402" s="782"/>
      <c r="E402" s="506"/>
      <c r="F402" s="507"/>
      <c r="G402" s="507"/>
      <c r="H402" s="507"/>
      <c r="I402" s="106" t="s">
        <v>979</v>
      </c>
      <c r="J402" s="106">
        <v>160</v>
      </c>
      <c r="K402" s="383"/>
      <c r="L402" s="383"/>
      <c r="M402" s="107" t="s">
        <v>486</v>
      </c>
      <c r="N402" s="384"/>
      <c r="O402" s="384"/>
      <c r="P402" s="106" t="s">
        <v>278</v>
      </c>
      <c r="Q402" s="106" t="s">
        <v>535</v>
      </c>
      <c r="R402" s="108" t="s">
        <v>980</v>
      </c>
      <c r="S402" s="72">
        <f t="shared" si="24"/>
        <v>0</v>
      </c>
      <c r="T402" s="72">
        <f t="shared" si="25"/>
        <v>0</v>
      </c>
      <c r="U402" s="96">
        <v>0</v>
      </c>
      <c r="V402" s="97">
        <v>0</v>
      </c>
    </row>
    <row r="403" spans="1:22" s="46" customFormat="1" ht="18" customHeight="1" x14ac:dyDescent="0.25">
      <c r="A403" s="743"/>
      <c r="B403" s="756"/>
      <c r="C403" s="740"/>
      <c r="D403" s="782"/>
      <c r="E403" s="506"/>
      <c r="F403" s="507"/>
      <c r="G403" s="507"/>
      <c r="H403" s="507"/>
      <c r="I403" s="95" t="s">
        <v>981</v>
      </c>
      <c r="J403" s="95">
        <v>160</v>
      </c>
      <c r="K403" s="427"/>
      <c r="L403" s="427"/>
      <c r="M403" s="428" t="s">
        <v>486</v>
      </c>
      <c r="N403" s="248"/>
      <c r="O403" s="248"/>
      <c r="P403" s="95" t="s">
        <v>278</v>
      </c>
      <c r="Q403" s="95" t="s">
        <v>535</v>
      </c>
      <c r="R403" s="95" t="s">
        <v>980</v>
      </c>
      <c r="S403" s="72">
        <f t="shared" si="24"/>
        <v>0</v>
      </c>
      <c r="T403" s="72">
        <f t="shared" si="25"/>
        <v>0</v>
      </c>
      <c r="U403" s="96">
        <v>0</v>
      </c>
      <c r="V403" s="97">
        <v>0</v>
      </c>
    </row>
    <row r="404" spans="1:22" s="46" customFormat="1" ht="18" customHeight="1" x14ac:dyDescent="0.25">
      <c r="A404" s="743"/>
      <c r="B404" s="756"/>
      <c r="C404" s="740"/>
      <c r="D404" s="782"/>
      <c r="E404" s="506"/>
      <c r="F404" s="507"/>
      <c r="G404" s="507"/>
      <c r="H404" s="507"/>
      <c r="I404" s="391" t="s">
        <v>258</v>
      </c>
      <c r="J404" s="391">
        <v>250</v>
      </c>
      <c r="K404" s="392"/>
      <c r="L404" s="392"/>
      <c r="M404" s="463" t="s">
        <v>486</v>
      </c>
      <c r="N404" s="391">
        <v>147</v>
      </c>
      <c r="O404" s="391">
        <v>7</v>
      </c>
      <c r="P404" s="391" t="s">
        <v>278</v>
      </c>
      <c r="Q404" s="392"/>
      <c r="R404" s="464" t="s">
        <v>488</v>
      </c>
      <c r="S404" s="72">
        <f t="shared" si="24"/>
        <v>49</v>
      </c>
      <c r="T404" s="72">
        <f t="shared" si="25"/>
        <v>16</v>
      </c>
      <c r="U404" s="72">
        <f t="shared" si="26"/>
        <v>2</v>
      </c>
      <c r="V404" s="86">
        <f t="shared" si="27"/>
        <v>1</v>
      </c>
    </row>
    <row r="405" spans="1:22" s="46" customFormat="1" ht="18" customHeight="1" x14ac:dyDescent="0.25">
      <c r="A405" s="743"/>
      <c r="B405" s="756"/>
      <c r="C405" s="740"/>
      <c r="D405" s="782"/>
      <c r="E405" s="506"/>
      <c r="F405" s="507"/>
      <c r="G405" s="507"/>
      <c r="H405" s="507"/>
      <c r="I405" s="391" t="s">
        <v>207</v>
      </c>
      <c r="J405" s="391">
        <v>160</v>
      </c>
      <c r="K405" s="392"/>
      <c r="L405" s="392"/>
      <c r="M405" s="463" t="s">
        <v>486</v>
      </c>
      <c r="N405" s="391">
        <v>180</v>
      </c>
      <c r="O405" s="391">
        <v>3</v>
      </c>
      <c r="P405" s="391" t="s">
        <v>278</v>
      </c>
      <c r="Q405" s="392"/>
      <c r="R405" s="464" t="s">
        <v>488</v>
      </c>
      <c r="S405" s="72">
        <f>ROUND(N405/6,0)</f>
        <v>30</v>
      </c>
      <c r="T405" s="72">
        <f t="shared" si="25"/>
        <v>10</v>
      </c>
      <c r="U405" s="72">
        <f t="shared" si="26"/>
        <v>1</v>
      </c>
      <c r="V405" s="86">
        <f t="shared" si="27"/>
        <v>0</v>
      </c>
    </row>
    <row r="406" spans="1:22" s="46" customFormat="1" ht="18" customHeight="1" x14ac:dyDescent="0.25">
      <c r="A406" s="743"/>
      <c r="B406" s="756"/>
      <c r="C406" s="740"/>
      <c r="D406" s="782"/>
      <c r="E406" s="506"/>
      <c r="F406" s="507"/>
      <c r="G406" s="507"/>
      <c r="H406" s="507"/>
      <c r="I406" s="106" t="s">
        <v>982</v>
      </c>
      <c r="J406" s="106">
        <v>400</v>
      </c>
      <c r="K406" s="383"/>
      <c r="L406" s="383"/>
      <c r="M406" s="107" t="s">
        <v>486</v>
      </c>
      <c r="N406" s="106">
        <v>0</v>
      </c>
      <c r="O406" s="106">
        <v>1</v>
      </c>
      <c r="P406" s="106" t="s">
        <v>278</v>
      </c>
      <c r="Q406" s="106" t="s">
        <v>535</v>
      </c>
      <c r="R406" s="108" t="s">
        <v>983</v>
      </c>
      <c r="S406" s="72">
        <f t="shared" ref="S406:S469" si="28">ROUND(N406/3,0)</f>
        <v>0</v>
      </c>
      <c r="T406" s="72">
        <f t="shared" si="25"/>
        <v>0</v>
      </c>
      <c r="U406" s="244">
        <v>1</v>
      </c>
      <c r="V406" s="188">
        <v>1</v>
      </c>
    </row>
    <row r="407" spans="1:22" s="46" customFormat="1" ht="18" customHeight="1" x14ac:dyDescent="0.25">
      <c r="A407" s="743"/>
      <c r="B407" s="756"/>
      <c r="C407" s="740"/>
      <c r="D407" s="782"/>
      <c r="E407" s="506"/>
      <c r="F407" s="507"/>
      <c r="G407" s="507"/>
      <c r="H407" s="514"/>
      <c r="I407" s="391" t="s">
        <v>236</v>
      </c>
      <c r="J407" s="391">
        <v>40</v>
      </c>
      <c r="K407" s="392"/>
      <c r="L407" s="392"/>
      <c r="M407" s="463" t="s">
        <v>486</v>
      </c>
      <c r="N407" s="391">
        <v>10</v>
      </c>
      <c r="O407" s="391">
        <v>1</v>
      </c>
      <c r="P407" s="391" t="s">
        <v>984</v>
      </c>
      <c r="Q407" s="392"/>
      <c r="R407" s="464" t="s">
        <v>488</v>
      </c>
      <c r="S407" s="72">
        <f t="shared" si="28"/>
        <v>3</v>
      </c>
      <c r="T407" s="72">
        <f t="shared" si="25"/>
        <v>1</v>
      </c>
      <c r="U407" s="72">
        <f t="shared" si="26"/>
        <v>0</v>
      </c>
      <c r="V407" s="86">
        <f t="shared" si="27"/>
        <v>0</v>
      </c>
    </row>
    <row r="408" spans="1:22" s="46" customFormat="1" ht="18" customHeight="1" x14ac:dyDescent="0.25">
      <c r="A408" s="743"/>
      <c r="B408" s="756"/>
      <c r="C408" s="740"/>
      <c r="D408" s="782"/>
      <c r="E408" s="506"/>
      <c r="F408" s="507"/>
      <c r="G408" s="507"/>
      <c r="H408" s="507"/>
      <c r="I408" s="391" t="s">
        <v>237</v>
      </c>
      <c r="J408" s="391">
        <v>100</v>
      </c>
      <c r="K408" s="392"/>
      <c r="L408" s="392"/>
      <c r="M408" s="463" t="s">
        <v>486</v>
      </c>
      <c r="N408" s="391">
        <v>112</v>
      </c>
      <c r="O408" s="391">
        <v>9</v>
      </c>
      <c r="P408" s="391" t="s">
        <v>984</v>
      </c>
      <c r="Q408" s="392"/>
      <c r="R408" s="464" t="s">
        <v>488</v>
      </c>
      <c r="S408" s="72">
        <f t="shared" si="28"/>
        <v>37</v>
      </c>
      <c r="T408" s="72">
        <f t="shared" si="25"/>
        <v>12</v>
      </c>
      <c r="U408" s="72">
        <f t="shared" si="26"/>
        <v>3</v>
      </c>
      <c r="V408" s="86">
        <f t="shared" si="27"/>
        <v>1</v>
      </c>
    </row>
    <row r="409" spans="1:22" s="46" customFormat="1" ht="18" customHeight="1" x14ac:dyDescent="0.25">
      <c r="A409" s="743"/>
      <c r="B409" s="756"/>
      <c r="C409" s="740"/>
      <c r="D409" s="782"/>
      <c r="E409" s="506"/>
      <c r="F409" s="507"/>
      <c r="G409" s="507"/>
      <c r="H409" s="507"/>
      <c r="I409" s="391" t="s">
        <v>238</v>
      </c>
      <c r="J409" s="391">
        <v>60</v>
      </c>
      <c r="K409" s="392"/>
      <c r="L409" s="392"/>
      <c r="M409" s="463" t="s">
        <v>486</v>
      </c>
      <c r="N409" s="391">
        <v>74</v>
      </c>
      <c r="O409" s="391">
        <v>2</v>
      </c>
      <c r="P409" s="391" t="s">
        <v>984</v>
      </c>
      <c r="Q409" s="392"/>
      <c r="R409" s="464" t="s">
        <v>488</v>
      </c>
      <c r="S409" s="72">
        <f t="shared" si="28"/>
        <v>25</v>
      </c>
      <c r="T409" s="72">
        <f t="shared" si="25"/>
        <v>8</v>
      </c>
      <c r="U409" s="72">
        <f t="shared" si="26"/>
        <v>1</v>
      </c>
      <c r="V409" s="86">
        <f t="shared" si="27"/>
        <v>0</v>
      </c>
    </row>
    <row r="410" spans="1:22" s="46" customFormat="1" ht="18" customHeight="1" x14ac:dyDescent="0.25">
      <c r="A410" s="743"/>
      <c r="B410" s="756"/>
      <c r="C410" s="740"/>
      <c r="D410" s="782"/>
      <c r="E410" s="515"/>
      <c r="F410" s="507"/>
      <c r="G410" s="507"/>
      <c r="H410" s="507"/>
      <c r="I410" s="391" t="s">
        <v>985</v>
      </c>
      <c r="J410" s="391">
        <v>1000</v>
      </c>
      <c r="K410" s="516"/>
      <c r="L410" s="516"/>
      <c r="M410" s="517" t="s">
        <v>486</v>
      </c>
      <c r="N410" s="518">
        <v>0</v>
      </c>
      <c r="O410" s="518">
        <v>1</v>
      </c>
      <c r="P410" s="519" t="s">
        <v>986</v>
      </c>
      <c r="Q410" s="518"/>
      <c r="R410" s="520" t="s">
        <v>987</v>
      </c>
      <c r="S410" s="72">
        <f t="shared" si="28"/>
        <v>0</v>
      </c>
      <c r="T410" s="72">
        <f t="shared" si="25"/>
        <v>0</v>
      </c>
      <c r="U410" s="244">
        <v>1</v>
      </c>
      <c r="V410" s="188">
        <v>1</v>
      </c>
    </row>
    <row r="411" spans="1:22" s="46" customFormat="1" ht="18" customHeight="1" x14ac:dyDescent="0.25">
      <c r="A411" s="743"/>
      <c r="B411" s="756"/>
      <c r="C411" s="740"/>
      <c r="D411" s="782"/>
      <c r="E411" s="515"/>
      <c r="F411" s="507"/>
      <c r="G411" s="507"/>
      <c r="H411" s="507"/>
      <c r="I411" s="391" t="s">
        <v>262</v>
      </c>
      <c r="J411" s="391">
        <v>630</v>
      </c>
      <c r="K411" s="392"/>
      <c r="L411" s="392"/>
      <c r="M411" s="463" t="s">
        <v>486</v>
      </c>
      <c r="N411" s="391">
        <v>0</v>
      </c>
      <c r="O411" s="391">
        <v>1</v>
      </c>
      <c r="P411" s="391" t="s">
        <v>986</v>
      </c>
      <c r="Q411" s="392"/>
      <c r="R411" s="464" t="s">
        <v>488</v>
      </c>
      <c r="S411" s="72">
        <f t="shared" si="28"/>
        <v>0</v>
      </c>
      <c r="T411" s="72">
        <f t="shared" si="25"/>
        <v>0</v>
      </c>
      <c r="U411" s="189">
        <v>1</v>
      </c>
      <c r="V411" s="297">
        <v>1</v>
      </c>
    </row>
    <row r="412" spans="1:22" s="46" customFormat="1" ht="18" customHeight="1" x14ac:dyDescent="0.25">
      <c r="A412" s="743"/>
      <c r="B412" s="756"/>
      <c r="C412" s="740"/>
      <c r="D412" s="782"/>
      <c r="E412" s="515"/>
      <c r="F412" s="507"/>
      <c r="G412" s="507"/>
      <c r="H412" s="507"/>
      <c r="I412" s="521" t="s">
        <v>276</v>
      </c>
      <c r="J412" s="521">
        <v>40</v>
      </c>
      <c r="K412" s="513"/>
      <c r="L412" s="513"/>
      <c r="M412" s="522" t="s">
        <v>486</v>
      </c>
      <c r="N412" s="384"/>
      <c r="O412" s="384"/>
      <c r="P412" s="382" t="s">
        <v>986</v>
      </c>
      <c r="Q412" s="513"/>
      <c r="R412" s="385"/>
      <c r="S412" s="72">
        <f t="shared" si="28"/>
        <v>0</v>
      </c>
      <c r="T412" s="72">
        <f t="shared" si="25"/>
        <v>0</v>
      </c>
      <c r="U412" s="96">
        <v>0</v>
      </c>
      <c r="V412" s="97">
        <v>0</v>
      </c>
    </row>
    <row r="413" spans="1:22" s="46" customFormat="1" ht="18" customHeight="1" thickBot="1" x14ac:dyDescent="0.3">
      <c r="A413" s="743"/>
      <c r="B413" s="756"/>
      <c r="C413" s="740"/>
      <c r="D413" s="782"/>
      <c r="E413" s="515"/>
      <c r="F413" s="507"/>
      <c r="G413" s="507"/>
      <c r="H413" s="523" t="s">
        <v>490</v>
      </c>
      <c r="I413" s="524" t="s">
        <v>988</v>
      </c>
      <c r="J413" s="524">
        <v>160</v>
      </c>
      <c r="K413" s="525"/>
      <c r="L413" s="525"/>
      <c r="M413" s="526" t="s">
        <v>486</v>
      </c>
      <c r="N413" s="527"/>
      <c r="O413" s="527"/>
      <c r="P413" s="528" t="s">
        <v>278</v>
      </c>
      <c r="Q413" s="525"/>
      <c r="R413" s="529" t="s">
        <v>989</v>
      </c>
      <c r="S413" s="72">
        <f t="shared" si="28"/>
        <v>0</v>
      </c>
      <c r="T413" s="72">
        <f t="shared" si="25"/>
        <v>0</v>
      </c>
      <c r="U413" s="96">
        <v>0</v>
      </c>
      <c r="V413" s="97">
        <v>0</v>
      </c>
    </row>
    <row r="414" spans="1:22" s="46" customFormat="1" ht="18" customHeight="1" x14ac:dyDescent="0.25">
      <c r="A414" s="743"/>
      <c r="B414" s="756"/>
      <c r="C414" s="740"/>
      <c r="D414" s="782"/>
      <c r="E414" s="506"/>
      <c r="F414" s="507"/>
      <c r="G414" s="530"/>
      <c r="H414" s="784" t="s">
        <v>990</v>
      </c>
      <c r="I414" s="447" t="s">
        <v>988</v>
      </c>
      <c r="J414" s="447">
        <v>160</v>
      </c>
      <c r="K414" s="447">
        <v>40</v>
      </c>
      <c r="L414" s="448"/>
      <c r="M414" s="449" t="s">
        <v>486</v>
      </c>
      <c r="N414" s="447">
        <v>0</v>
      </c>
      <c r="O414" s="447">
        <v>1</v>
      </c>
      <c r="P414" s="447" t="s">
        <v>986</v>
      </c>
      <c r="Q414" s="448"/>
      <c r="R414" s="450" t="s">
        <v>488</v>
      </c>
      <c r="S414" s="72">
        <f t="shared" si="28"/>
        <v>0</v>
      </c>
      <c r="T414" s="72">
        <f t="shared" si="25"/>
        <v>0</v>
      </c>
      <c r="U414" s="189">
        <v>1</v>
      </c>
      <c r="V414" s="297">
        <v>1</v>
      </c>
    </row>
    <row r="415" spans="1:22" s="46" customFormat="1" ht="18" customHeight="1" x14ac:dyDescent="0.25">
      <c r="A415" s="743"/>
      <c r="B415" s="756"/>
      <c r="C415" s="740"/>
      <c r="D415" s="782"/>
      <c r="E415" s="515"/>
      <c r="F415" s="507"/>
      <c r="G415" s="530"/>
      <c r="H415" s="785"/>
      <c r="I415" s="391" t="s">
        <v>165</v>
      </c>
      <c r="J415" s="391">
        <v>100</v>
      </c>
      <c r="K415" s="392"/>
      <c r="L415" s="392"/>
      <c r="M415" s="463" t="s">
        <v>486</v>
      </c>
      <c r="N415" s="391">
        <v>59</v>
      </c>
      <c r="O415" s="391">
        <v>12</v>
      </c>
      <c r="P415" s="391" t="s">
        <v>986</v>
      </c>
      <c r="Q415" s="392"/>
      <c r="R415" s="464" t="s">
        <v>488</v>
      </c>
      <c r="S415" s="72">
        <f t="shared" si="28"/>
        <v>20</v>
      </c>
      <c r="T415" s="72">
        <f t="shared" si="25"/>
        <v>7</v>
      </c>
      <c r="U415" s="72">
        <f t="shared" si="26"/>
        <v>4</v>
      </c>
      <c r="V415" s="86">
        <f t="shared" si="27"/>
        <v>1</v>
      </c>
    </row>
    <row r="416" spans="1:22" s="46" customFormat="1" ht="18" customHeight="1" x14ac:dyDescent="0.25">
      <c r="A416" s="743"/>
      <c r="B416" s="756"/>
      <c r="C416" s="740"/>
      <c r="D416" s="782"/>
      <c r="E416" s="515"/>
      <c r="F416" s="507"/>
      <c r="G416" s="530"/>
      <c r="H416" s="785"/>
      <c r="I416" s="391" t="s">
        <v>121</v>
      </c>
      <c r="J416" s="391">
        <v>100</v>
      </c>
      <c r="K416" s="392"/>
      <c r="L416" s="392"/>
      <c r="M416" s="463" t="s">
        <v>486</v>
      </c>
      <c r="N416" s="391">
        <v>144</v>
      </c>
      <c r="O416" s="391">
        <v>1</v>
      </c>
      <c r="P416" s="391" t="s">
        <v>986</v>
      </c>
      <c r="Q416" s="392"/>
      <c r="R416" s="464" t="s">
        <v>488</v>
      </c>
      <c r="S416" s="72">
        <f t="shared" si="28"/>
        <v>48</v>
      </c>
      <c r="T416" s="72">
        <f t="shared" si="25"/>
        <v>16</v>
      </c>
      <c r="U416" s="72">
        <f t="shared" si="26"/>
        <v>0</v>
      </c>
      <c r="V416" s="86">
        <f t="shared" si="27"/>
        <v>0</v>
      </c>
    </row>
    <row r="417" spans="1:22" s="46" customFormat="1" ht="18" customHeight="1" x14ac:dyDescent="0.25">
      <c r="A417" s="743"/>
      <c r="B417" s="756"/>
      <c r="C417" s="740"/>
      <c r="D417" s="782"/>
      <c r="E417" s="515"/>
      <c r="F417" s="507"/>
      <c r="G417" s="530"/>
      <c r="H417" s="785"/>
      <c r="I417" s="391" t="s">
        <v>120</v>
      </c>
      <c r="J417" s="391">
        <v>50</v>
      </c>
      <c r="K417" s="392"/>
      <c r="L417" s="392"/>
      <c r="M417" s="463" t="s">
        <v>486</v>
      </c>
      <c r="N417" s="391">
        <v>0</v>
      </c>
      <c r="O417" s="391">
        <v>1</v>
      </c>
      <c r="P417" s="391" t="s">
        <v>986</v>
      </c>
      <c r="Q417" s="392"/>
      <c r="R417" s="464" t="s">
        <v>488</v>
      </c>
      <c r="S417" s="72">
        <f t="shared" si="28"/>
        <v>0</v>
      </c>
      <c r="T417" s="72">
        <f t="shared" si="25"/>
        <v>0</v>
      </c>
      <c r="U417" s="189">
        <v>1</v>
      </c>
      <c r="V417" s="297">
        <v>1</v>
      </c>
    </row>
    <row r="418" spans="1:22" s="46" customFormat="1" ht="18" customHeight="1" x14ac:dyDescent="0.25">
      <c r="A418" s="743"/>
      <c r="B418" s="756"/>
      <c r="C418" s="740"/>
      <c r="D418" s="782"/>
      <c r="E418" s="515"/>
      <c r="F418" s="507"/>
      <c r="G418" s="530"/>
      <c r="H418" s="785"/>
      <c r="I418" s="106" t="s">
        <v>263</v>
      </c>
      <c r="J418" s="106">
        <v>25</v>
      </c>
      <c r="K418" s="383"/>
      <c r="L418" s="383"/>
      <c r="M418" s="107" t="s">
        <v>486</v>
      </c>
      <c r="N418" s="384"/>
      <c r="O418" s="384"/>
      <c r="P418" s="106" t="s">
        <v>986</v>
      </c>
      <c r="Q418" s="106" t="s">
        <v>991</v>
      </c>
      <c r="R418" s="108" t="s">
        <v>992</v>
      </c>
      <c r="S418" s="72">
        <f t="shared" si="28"/>
        <v>0</v>
      </c>
      <c r="T418" s="72">
        <f t="shared" si="25"/>
        <v>0</v>
      </c>
      <c r="U418" s="96">
        <v>0</v>
      </c>
      <c r="V418" s="97">
        <v>0</v>
      </c>
    </row>
    <row r="419" spans="1:22" s="46" customFormat="1" ht="18" customHeight="1" x14ac:dyDescent="0.25">
      <c r="A419" s="743"/>
      <c r="B419" s="756"/>
      <c r="C419" s="740"/>
      <c r="D419" s="782"/>
      <c r="E419" s="515"/>
      <c r="F419" s="507"/>
      <c r="G419" s="530"/>
      <c r="H419" s="785"/>
      <c r="I419" s="391" t="s">
        <v>149</v>
      </c>
      <c r="J419" s="391">
        <v>25</v>
      </c>
      <c r="K419" s="392"/>
      <c r="L419" s="392"/>
      <c r="M419" s="463" t="s">
        <v>486</v>
      </c>
      <c r="N419" s="391">
        <v>0</v>
      </c>
      <c r="O419" s="391">
        <v>1</v>
      </c>
      <c r="P419" s="391" t="s">
        <v>245</v>
      </c>
      <c r="Q419" s="392"/>
      <c r="R419" s="464" t="s">
        <v>488</v>
      </c>
      <c r="S419" s="72">
        <f t="shared" si="28"/>
        <v>0</v>
      </c>
      <c r="T419" s="72">
        <f t="shared" si="25"/>
        <v>0</v>
      </c>
      <c r="U419" s="189">
        <v>1</v>
      </c>
      <c r="V419" s="297">
        <v>1</v>
      </c>
    </row>
    <row r="420" spans="1:22" s="46" customFormat="1" ht="18" customHeight="1" x14ac:dyDescent="0.25">
      <c r="A420" s="743"/>
      <c r="B420" s="756"/>
      <c r="C420" s="740"/>
      <c r="D420" s="782"/>
      <c r="E420" s="515"/>
      <c r="F420" s="507"/>
      <c r="G420" s="530"/>
      <c r="H420" s="785"/>
      <c r="I420" s="106" t="s">
        <v>993</v>
      </c>
      <c r="J420" s="106">
        <v>25</v>
      </c>
      <c r="K420" s="383"/>
      <c r="L420" s="383"/>
      <c r="M420" s="107" t="s">
        <v>486</v>
      </c>
      <c r="N420" s="384"/>
      <c r="O420" s="384"/>
      <c r="P420" s="106" t="s">
        <v>245</v>
      </c>
      <c r="Q420" s="106" t="s">
        <v>994</v>
      </c>
      <c r="R420" s="108" t="s">
        <v>995</v>
      </c>
      <c r="S420" s="72">
        <f t="shared" si="28"/>
        <v>0</v>
      </c>
      <c r="T420" s="72">
        <f t="shared" si="25"/>
        <v>0</v>
      </c>
      <c r="U420" s="96">
        <v>0</v>
      </c>
      <c r="V420" s="97">
        <v>0</v>
      </c>
    </row>
    <row r="421" spans="1:22" s="46" customFormat="1" ht="18" customHeight="1" thickBot="1" x14ac:dyDescent="0.3">
      <c r="A421" s="743"/>
      <c r="B421" s="756"/>
      <c r="C421" s="741"/>
      <c r="D421" s="783"/>
      <c r="E421" s="531"/>
      <c r="F421" s="532"/>
      <c r="G421" s="533"/>
      <c r="H421" s="786"/>
      <c r="I421" s="534" t="s">
        <v>996</v>
      </c>
      <c r="J421" s="534">
        <v>100</v>
      </c>
      <c r="K421" s="535"/>
      <c r="L421" s="535"/>
      <c r="M421" s="536" t="s">
        <v>486</v>
      </c>
      <c r="N421" s="534">
        <v>0</v>
      </c>
      <c r="O421" s="534">
        <v>1</v>
      </c>
      <c r="P421" s="534" t="s">
        <v>245</v>
      </c>
      <c r="Q421" s="534" t="s">
        <v>997</v>
      </c>
      <c r="R421" s="537" t="s">
        <v>998</v>
      </c>
      <c r="S421" s="72">
        <f t="shared" si="28"/>
        <v>0</v>
      </c>
      <c r="T421" s="72">
        <f t="shared" si="25"/>
        <v>0</v>
      </c>
      <c r="U421" s="244">
        <v>1</v>
      </c>
      <c r="V421" s="188">
        <v>1</v>
      </c>
    </row>
    <row r="422" spans="1:22" s="46" customFormat="1" ht="18" customHeight="1" x14ac:dyDescent="0.25">
      <c r="A422" s="743"/>
      <c r="B422" s="777"/>
      <c r="C422" s="745" t="s">
        <v>999</v>
      </c>
      <c r="D422" s="787"/>
      <c r="E422" s="538"/>
      <c r="F422" s="539"/>
      <c r="G422" s="539"/>
      <c r="H422" s="539"/>
      <c r="I422" s="219" t="s">
        <v>1000</v>
      </c>
      <c r="J422" s="220">
        <v>25</v>
      </c>
      <c r="K422" s="540"/>
      <c r="L422" s="540"/>
      <c r="M422" s="541" t="s">
        <v>486</v>
      </c>
      <c r="N422" s="542">
        <v>0</v>
      </c>
      <c r="O422" s="542">
        <v>1</v>
      </c>
      <c r="P422" s="542" t="s">
        <v>1001</v>
      </c>
      <c r="Q422" s="542" t="s">
        <v>973</v>
      </c>
      <c r="R422" s="543" t="s">
        <v>878</v>
      </c>
      <c r="S422" s="72">
        <f t="shared" si="28"/>
        <v>0</v>
      </c>
      <c r="T422" s="72">
        <f t="shared" si="25"/>
        <v>0</v>
      </c>
      <c r="U422" s="244">
        <v>1</v>
      </c>
      <c r="V422" s="188">
        <v>1</v>
      </c>
    </row>
    <row r="423" spans="1:22" s="46" customFormat="1" ht="18" customHeight="1" x14ac:dyDescent="0.25">
      <c r="A423" s="743"/>
      <c r="B423" s="777"/>
      <c r="C423" s="746"/>
      <c r="D423" s="788"/>
      <c r="E423" s="544"/>
      <c r="F423" s="496"/>
      <c r="G423" s="497"/>
      <c r="H423" s="496"/>
      <c r="I423" s="296" t="s">
        <v>255</v>
      </c>
      <c r="J423" s="295">
        <v>160</v>
      </c>
      <c r="K423" s="545"/>
      <c r="L423" s="292"/>
      <c r="M423" s="83" t="s">
        <v>486</v>
      </c>
      <c r="N423" s="293">
        <v>207</v>
      </c>
      <c r="O423" s="546">
        <v>12</v>
      </c>
      <c r="P423" s="293" t="s">
        <v>1001</v>
      </c>
      <c r="Q423" s="151"/>
      <c r="R423" s="547" t="s">
        <v>488</v>
      </c>
      <c r="S423" s="72">
        <f>ROUND(N423/6,0)</f>
        <v>35</v>
      </c>
      <c r="T423" s="72">
        <f t="shared" si="25"/>
        <v>12</v>
      </c>
      <c r="U423" s="72">
        <f t="shared" si="26"/>
        <v>4</v>
      </c>
      <c r="V423" s="86">
        <f t="shared" si="27"/>
        <v>1</v>
      </c>
    </row>
    <row r="424" spans="1:22" s="46" customFormat="1" ht="18" customHeight="1" x14ac:dyDescent="0.25">
      <c r="A424" s="743"/>
      <c r="B424" s="777"/>
      <c r="C424" s="746"/>
      <c r="D424" s="788"/>
      <c r="E424" s="548"/>
      <c r="F424" s="498"/>
      <c r="G424" s="499"/>
      <c r="H424" s="498"/>
      <c r="I424" s="296" t="s">
        <v>272</v>
      </c>
      <c r="J424" s="295">
        <v>250</v>
      </c>
      <c r="K424" s="549"/>
      <c r="L424" s="230"/>
      <c r="M424" s="83" t="s">
        <v>486</v>
      </c>
      <c r="N424" s="295">
        <v>1</v>
      </c>
      <c r="O424" s="296">
        <v>5</v>
      </c>
      <c r="P424" s="295" t="s">
        <v>1001</v>
      </c>
      <c r="Q424" s="81"/>
      <c r="R424" s="550" t="s">
        <v>488</v>
      </c>
      <c r="S424" s="72">
        <f t="shared" si="28"/>
        <v>0</v>
      </c>
      <c r="T424" s="72">
        <f t="shared" si="25"/>
        <v>0</v>
      </c>
      <c r="U424" s="72">
        <f t="shared" si="26"/>
        <v>2</v>
      </c>
      <c r="V424" s="86">
        <f t="shared" si="27"/>
        <v>1</v>
      </c>
    </row>
    <row r="425" spans="1:22" s="46" customFormat="1" ht="18" customHeight="1" thickBot="1" x14ac:dyDescent="0.3">
      <c r="A425" s="743"/>
      <c r="B425" s="777"/>
      <c r="C425" s="746"/>
      <c r="D425" s="788"/>
      <c r="E425" s="551"/>
      <c r="F425" s="498"/>
      <c r="G425" s="499"/>
      <c r="H425" s="498"/>
      <c r="I425" s="296" t="s">
        <v>256</v>
      </c>
      <c r="J425" s="295">
        <v>100</v>
      </c>
      <c r="K425" s="549"/>
      <c r="L425" s="230"/>
      <c r="M425" s="83" t="s">
        <v>486</v>
      </c>
      <c r="N425" s="295">
        <v>174</v>
      </c>
      <c r="O425" s="296">
        <v>6</v>
      </c>
      <c r="P425" s="295" t="s">
        <v>1002</v>
      </c>
      <c r="Q425" s="81"/>
      <c r="R425" s="550" t="s">
        <v>488</v>
      </c>
      <c r="S425" s="72">
        <f t="shared" si="28"/>
        <v>58</v>
      </c>
      <c r="T425" s="72">
        <f t="shared" si="25"/>
        <v>19</v>
      </c>
      <c r="U425" s="72">
        <f t="shared" si="26"/>
        <v>2</v>
      </c>
      <c r="V425" s="86">
        <f t="shared" si="27"/>
        <v>1</v>
      </c>
    </row>
    <row r="426" spans="1:22" s="46" customFormat="1" ht="18" customHeight="1" thickBot="1" x14ac:dyDescent="0.3">
      <c r="A426" s="743"/>
      <c r="B426" s="777"/>
      <c r="C426" s="746"/>
      <c r="D426" s="788"/>
      <c r="E426" s="552"/>
      <c r="F426" s="498"/>
      <c r="G426" s="499"/>
      <c r="H426" s="498"/>
      <c r="I426" s="88" t="s">
        <v>1003</v>
      </c>
      <c r="J426" s="553">
        <v>10</v>
      </c>
      <c r="K426" s="90"/>
      <c r="L426" s="229"/>
      <c r="M426" s="92" t="s">
        <v>486</v>
      </c>
      <c r="N426" s="89">
        <v>0</v>
      </c>
      <c r="O426" s="88">
        <v>1</v>
      </c>
      <c r="P426" s="89" t="s">
        <v>1002</v>
      </c>
      <c r="Q426" s="88" t="s">
        <v>704</v>
      </c>
      <c r="R426" s="95" t="s">
        <v>1004</v>
      </c>
      <c r="S426" s="72">
        <f t="shared" si="28"/>
        <v>0</v>
      </c>
      <c r="T426" s="72">
        <f t="shared" si="25"/>
        <v>0</v>
      </c>
      <c r="U426" s="244">
        <v>1</v>
      </c>
      <c r="V426" s="188">
        <v>1</v>
      </c>
    </row>
    <row r="427" spans="1:22" s="46" customFormat="1" ht="18" customHeight="1" x14ac:dyDescent="0.25">
      <c r="A427" s="743"/>
      <c r="B427" s="777"/>
      <c r="C427" s="746"/>
      <c r="D427" s="788"/>
      <c r="E427" s="544"/>
      <c r="F427" s="498"/>
      <c r="G427" s="499"/>
      <c r="H427" s="498"/>
      <c r="I427" s="296" t="s">
        <v>274</v>
      </c>
      <c r="J427" s="295">
        <v>25</v>
      </c>
      <c r="K427" s="549"/>
      <c r="L427" s="230"/>
      <c r="M427" s="83" t="s">
        <v>486</v>
      </c>
      <c r="N427" s="295">
        <v>13</v>
      </c>
      <c r="O427" s="296">
        <v>0</v>
      </c>
      <c r="P427" s="295" t="s">
        <v>1002</v>
      </c>
      <c r="Q427" s="81"/>
      <c r="R427" s="550" t="s">
        <v>488</v>
      </c>
      <c r="S427" s="72">
        <f t="shared" si="28"/>
        <v>4</v>
      </c>
      <c r="T427" s="72">
        <f t="shared" si="25"/>
        <v>1</v>
      </c>
      <c r="U427" s="72">
        <f t="shared" si="26"/>
        <v>0</v>
      </c>
      <c r="V427" s="86">
        <f t="shared" si="27"/>
        <v>0</v>
      </c>
    </row>
    <row r="428" spans="1:22" s="46" customFormat="1" ht="18" customHeight="1" x14ac:dyDescent="0.25">
      <c r="A428" s="743"/>
      <c r="B428" s="777"/>
      <c r="C428" s="746"/>
      <c r="D428" s="788"/>
      <c r="E428" s="548"/>
      <c r="F428" s="498"/>
      <c r="G428" s="499"/>
      <c r="H428" s="498"/>
      <c r="I428" s="88" t="s">
        <v>1005</v>
      </c>
      <c r="J428" s="89">
        <v>63</v>
      </c>
      <c r="K428" s="90"/>
      <c r="L428" s="229"/>
      <c r="M428" s="92" t="s">
        <v>486</v>
      </c>
      <c r="N428" s="89">
        <v>0</v>
      </c>
      <c r="O428" s="88">
        <v>1</v>
      </c>
      <c r="P428" s="89" t="s">
        <v>1006</v>
      </c>
      <c r="Q428" s="88" t="s">
        <v>1007</v>
      </c>
      <c r="R428" s="95" t="s">
        <v>1008</v>
      </c>
      <c r="S428" s="72">
        <f t="shared" si="28"/>
        <v>0</v>
      </c>
      <c r="T428" s="72">
        <f t="shared" si="25"/>
        <v>0</v>
      </c>
      <c r="U428" s="244">
        <v>1</v>
      </c>
      <c r="V428" s="188">
        <v>1</v>
      </c>
    </row>
    <row r="429" spans="1:22" s="46" customFormat="1" ht="18" customHeight="1" x14ac:dyDescent="0.25">
      <c r="A429" s="743"/>
      <c r="B429" s="777"/>
      <c r="C429" s="746"/>
      <c r="D429" s="788"/>
      <c r="E429" s="548"/>
      <c r="F429" s="498"/>
      <c r="G429" s="499"/>
      <c r="H429" s="498"/>
      <c r="I429" s="88" t="s">
        <v>1009</v>
      </c>
      <c r="J429" s="89">
        <v>2.5</v>
      </c>
      <c r="K429" s="90"/>
      <c r="L429" s="229"/>
      <c r="M429" s="92" t="s">
        <v>486</v>
      </c>
      <c r="N429" s="89">
        <v>0</v>
      </c>
      <c r="O429" s="88">
        <v>1</v>
      </c>
      <c r="P429" s="89" t="s">
        <v>1006</v>
      </c>
      <c r="Q429" s="88" t="s">
        <v>388</v>
      </c>
      <c r="R429" s="95" t="s">
        <v>1010</v>
      </c>
      <c r="S429" s="72">
        <f t="shared" si="28"/>
        <v>0</v>
      </c>
      <c r="T429" s="72">
        <f t="shared" si="25"/>
        <v>0</v>
      </c>
      <c r="U429" s="244">
        <v>1</v>
      </c>
      <c r="V429" s="188">
        <v>1</v>
      </c>
    </row>
    <row r="430" spans="1:22" s="46" customFormat="1" ht="18" customHeight="1" x14ac:dyDescent="0.25">
      <c r="A430" s="743"/>
      <c r="B430" s="777"/>
      <c r="C430" s="746"/>
      <c r="D430" s="788"/>
      <c r="E430" s="548"/>
      <c r="F430" s="498"/>
      <c r="G430" s="554"/>
      <c r="H430" s="555"/>
      <c r="I430" s="88" t="s">
        <v>244</v>
      </c>
      <c r="J430" s="89">
        <v>40</v>
      </c>
      <c r="K430" s="90"/>
      <c r="L430" s="229"/>
      <c r="M430" s="92" t="s">
        <v>486</v>
      </c>
      <c r="N430" s="93"/>
      <c r="O430" s="94"/>
      <c r="P430" s="89" t="s">
        <v>1006</v>
      </c>
      <c r="Q430" s="88" t="s">
        <v>1011</v>
      </c>
      <c r="R430" s="95" t="s">
        <v>1012</v>
      </c>
      <c r="S430" s="72">
        <f t="shared" si="28"/>
        <v>0</v>
      </c>
      <c r="T430" s="72">
        <f t="shared" si="25"/>
        <v>0</v>
      </c>
      <c r="U430" s="96">
        <v>0</v>
      </c>
      <c r="V430" s="97">
        <v>0</v>
      </c>
    </row>
    <row r="431" spans="1:22" s="46" customFormat="1" ht="18" customHeight="1" x14ac:dyDescent="0.25">
      <c r="A431" s="743"/>
      <c r="B431" s="777"/>
      <c r="C431" s="746"/>
      <c r="D431" s="788"/>
      <c r="E431" s="556"/>
      <c r="F431" s="557"/>
      <c r="G431" s="558"/>
      <c r="H431" s="557"/>
      <c r="I431" s="559" t="s">
        <v>212</v>
      </c>
      <c r="J431" s="560">
        <v>40</v>
      </c>
      <c r="K431" s="561"/>
      <c r="L431" s="562"/>
      <c r="M431" s="83" t="s">
        <v>486</v>
      </c>
      <c r="N431" s="82">
        <v>0</v>
      </c>
      <c r="O431" s="325">
        <v>1</v>
      </c>
      <c r="P431" s="82" t="s">
        <v>1006</v>
      </c>
      <c r="Q431" s="325" t="s">
        <v>1013</v>
      </c>
      <c r="R431" s="563" t="s">
        <v>488</v>
      </c>
      <c r="S431" s="72">
        <f t="shared" si="28"/>
        <v>0</v>
      </c>
      <c r="T431" s="72">
        <f t="shared" si="25"/>
        <v>0</v>
      </c>
      <c r="U431" s="189">
        <v>1</v>
      </c>
      <c r="V431" s="297">
        <v>1</v>
      </c>
    </row>
    <row r="432" spans="1:22" s="46" customFormat="1" ht="18" customHeight="1" x14ac:dyDescent="0.25">
      <c r="A432" s="743"/>
      <c r="B432" s="777"/>
      <c r="C432" s="746"/>
      <c r="D432" s="788"/>
      <c r="E432" s="556"/>
      <c r="F432" s="557"/>
      <c r="G432" s="558"/>
      <c r="H432" s="557"/>
      <c r="I432" s="88" t="s">
        <v>1014</v>
      </c>
      <c r="J432" s="89">
        <v>40</v>
      </c>
      <c r="K432" s="90"/>
      <c r="L432" s="229"/>
      <c r="M432" s="92" t="s">
        <v>486</v>
      </c>
      <c r="N432" s="93"/>
      <c r="O432" s="94"/>
      <c r="P432" s="89" t="s">
        <v>1006</v>
      </c>
      <c r="Q432" s="88" t="s">
        <v>1015</v>
      </c>
      <c r="R432" s="95" t="s">
        <v>1016</v>
      </c>
      <c r="S432" s="72">
        <f t="shared" si="28"/>
        <v>0</v>
      </c>
      <c r="T432" s="72">
        <f t="shared" si="25"/>
        <v>0</v>
      </c>
      <c r="U432" s="96">
        <v>0</v>
      </c>
      <c r="V432" s="97">
        <v>0</v>
      </c>
    </row>
    <row r="433" spans="1:22" s="46" customFormat="1" ht="18" customHeight="1" x14ac:dyDescent="0.25">
      <c r="A433" s="743"/>
      <c r="B433" s="777"/>
      <c r="C433" s="746"/>
      <c r="D433" s="788"/>
      <c r="E433" s="556"/>
      <c r="F433" s="557"/>
      <c r="G433" s="558"/>
      <c r="H433" s="557"/>
      <c r="I433" s="296" t="s">
        <v>118</v>
      </c>
      <c r="J433" s="295">
        <v>160</v>
      </c>
      <c r="K433" s="81"/>
      <c r="L433" s="230"/>
      <c r="M433" s="83" t="s">
        <v>486</v>
      </c>
      <c r="N433" s="80">
        <v>253</v>
      </c>
      <c r="O433" s="79">
        <v>4</v>
      </c>
      <c r="P433" s="80" t="s">
        <v>1006</v>
      </c>
      <c r="Q433" s="81"/>
      <c r="R433" s="550" t="s">
        <v>488</v>
      </c>
      <c r="S433" s="72">
        <f>ROUND(N433/6,0)</f>
        <v>42</v>
      </c>
      <c r="T433" s="72">
        <f t="shared" si="25"/>
        <v>14</v>
      </c>
      <c r="U433" s="72">
        <f t="shared" si="26"/>
        <v>1</v>
      </c>
      <c r="V433" s="86">
        <f t="shared" si="27"/>
        <v>0</v>
      </c>
    </row>
    <row r="434" spans="1:22" s="46" customFormat="1" ht="18" customHeight="1" x14ac:dyDescent="0.25">
      <c r="A434" s="743"/>
      <c r="B434" s="777"/>
      <c r="C434" s="746"/>
      <c r="D434" s="788"/>
      <c r="E434" s="556"/>
      <c r="F434" s="557"/>
      <c r="G434" s="558"/>
      <c r="H434" s="557"/>
      <c r="I434" s="88" t="s">
        <v>1017</v>
      </c>
      <c r="J434" s="89">
        <v>250</v>
      </c>
      <c r="K434" s="90"/>
      <c r="L434" s="229"/>
      <c r="M434" s="92" t="s">
        <v>486</v>
      </c>
      <c r="N434" s="89">
        <v>0</v>
      </c>
      <c r="O434" s="88">
        <v>1</v>
      </c>
      <c r="P434" s="89" t="s">
        <v>1006</v>
      </c>
      <c r="Q434" s="88" t="s">
        <v>1011</v>
      </c>
      <c r="R434" s="95" t="s">
        <v>1018</v>
      </c>
      <c r="S434" s="72">
        <f t="shared" si="28"/>
        <v>0</v>
      </c>
      <c r="T434" s="72">
        <f t="shared" si="25"/>
        <v>0</v>
      </c>
      <c r="U434" s="244">
        <v>1</v>
      </c>
      <c r="V434" s="188">
        <v>1</v>
      </c>
    </row>
    <row r="435" spans="1:22" s="46" customFormat="1" ht="18" customHeight="1" x14ac:dyDescent="0.25">
      <c r="A435" s="743"/>
      <c r="B435" s="777"/>
      <c r="C435" s="746"/>
      <c r="D435" s="788"/>
      <c r="E435" s="556"/>
      <c r="F435" s="557"/>
      <c r="G435" s="558"/>
      <c r="H435" s="557"/>
      <c r="I435" s="296" t="s">
        <v>172</v>
      </c>
      <c r="J435" s="295">
        <v>50</v>
      </c>
      <c r="K435" s="81"/>
      <c r="L435" s="230"/>
      <c r="M435" s="83" t="s">
        <v>486</v>
      </c>
      <c r="N435" s="80">
        <v>0</v>
      </c>
      <c r="O435" s="79">
        <v>4</v>
      </c>
      <c r="P435" s="80" t="s">
        <v>1006</v>
      </c>
      <c r="Q435" s="79" t="s">
        <v>720</v>
      </c>
      <c r="R435" s="550" t="s">
        <v>488</v>
      </c>
      <c r="S435" s="72">
        <f t="shared" si="28"/>
        <v>0</v>
      </c>
      <c r="T435" s="72">
        <f t="shared" si="25"/>
        <v>0</v>
      </c>
      <c r="U435" s="189">
        <v>4</v>
      </c>
      <c r="V435" s="297">
        <v>4</v>
      </c>
    </row>
    <row r="436" spans="1:22" s="46" customFormat="1" ht="18" customHeight="1" x14ac:dyDescent="0.25">
      <c r="A436" s="743"/>
      <c r="B436" s="777"/>
      <c r="C436" s="746"/>
      <c r="D436" s="788"/>
      <c r="E436" s="556"/>
      <c r="F436" s="557"/>
      <c r="G436" s="558"/>
      <c r="H436" s="557"/>
      <c r="I436" s="296" t="s">
        <v>137</v>
      </c>
      <c r="J436" s="295">
        <v>100</v>
      </c>
      <c r="K436" s="81"/>
      <c r="L436" s="230"/>
      <c r="M436" s="83" t="s">
        <v>486</v>
      </c>
      <c r="N436" s="80">
        <v>97</v>
      </c>
      <c r="O436" s="79">
        <v>4</v>
      </c>
      <c r="P436" s="80" t="s">
        <v>1006</v>
      </c>
      <c r="Q436" s="81"/>
      <c r="R436" s="550" t="s">
        <v>488</v>
      </c>
      <c r="S436" s="72">
        <f t="shared" si="28"/>
        <v>32</v>
      </c>
      <c r="T436" s="72">
        <f t="shared" si="25"/>
        <v>11</v>
      </c>
      <c r="U436" s="72">
        <f t="shared" si="26"/>
        <v>1</v>
      </c>
      <c r="V436" s="86">
        <f t="shared" si="27"/>
        <v>0</v>
      </c>
    </row>
    <row r="437" spans="1:22" s="46" customFormat="1" ht="18" customHeight="1" thickBot="1" x14ac:dyDescent="0.3">
      <c r="A437" s="743"/>
      <c r="B437" s="777"/>
      <c r="C437" s="746"/>
      <c r="D437" s="788"/>
      <c r="E437" s="556"/>
      <c r="F437" s="557"/>
      <c r="G437" s="558"/>
      <c r="H437" s="564"/>
      <c r="I437" s="565" t="s">
        <v>189</v>
      </c>
      <c r="J437" s="566">
        <v>160</v>
      </c>
      <c r="K437" s="210"/>
      <c r="L437" s="234"/>
      <c r="M437" s="212" t="s">
        <v>486</v>
      </c>
      <c r="N437" s="209">
        <v>73</v>
      </c>
      <c r="O437" s="208">
        <v>5</v>
      </c>
      <c r="P437" s="209" t="s">
        <v>1006</v>
      </c>
      <c r="Q437" s="208" t="s">
        <v>1019</v>
      </c>
      <c r="R437" s="567" t="s">
        <v>488</v>
      </c>
      <c r="S437" s="72">
        <f t="shared" si="28"/>
        <v>24</v>
      </c>
      <c r="T437" s="72">
        <f t="shared" si="25"/>
        <v>8</v>
      </c>
      <c r="U437" s="72">
        <f t="shared" si="26"/>
        <v>2</v>
      </c>
      <c r="V437" s="86">
        <f t="shared" si="27"/>
        <v>1</v>
      </c>
    </row>
    <row r="438" spans="1:22" s="46" customFormat="1" ht="18" customHeight="1" x14ac:dyDescent="0.25">
      <c r="A438" s="743"/>
      <c r="B438" s="777"/>
      <c r="C438" s="746"/>
      <c r="D438" s="788"/>
      <c r="E438" s="556"/>
      <c r="F438" s="557"/>
      <c r="G438" s="558"/>
      <c r="H438" s="790" t="s">
        <v>1020</v>
      </c>
      <c r="I438" s="287" t="s">
        <v>131</v>
      </c>
      <c r="J438" s="288">
        <v>250</v>
      </c>
      <c r="K438" s="67">
        <v>100</v>
      </c>
      <c r="L438" s="243"/>
      <c r="M438" s="70" t="s">
        <v>486</v>
      </c>
      <c r="N438" s="68">
        <v>11</v>
      </c>
      <c r="O438" s="67">
        <v>5</v>
      </c>
      <c r="P438" s="68" t="s">
        <v>1006</v>
      </c>
      <c r="Q438" s="67" t="s">
        <v>530</v>
      </c>
      <c r="R438" s="289" t="s">
        <v>488</v>
      </c>
      <c r="S438" s="72">
        <f t="shared" si="28"/>
        <v>4</v>
      </c>
      <c r="T438" s="72">
        <f t="shared" si="25"/>
        <v>1</v>
      </c>
      <c r="U438" s="72">
        <f t="shared" si="26"/>
        <v>2</v>
      </c>
      <c r="V438" s="86">
        <f t="shared" si="27"/>
        <v>1</v>
      </c>
    </row>
    <row r="439" spans="1:22" s="46" customFormat="1" ht="18" customHeight="1" x14ac:dyDescent="0.25">
      <c r="A439" s="743"/>
      <c r="B439" s="777"/>
      <c r="C439" s="746"/>
      <c r="D439" s="788"/>
      <c r="E439" s="556"/>
      <c r="F439" s="557"/>
      <c r="G439" s="558"/>
      <c r="H439" s="791"/>
      <c r="I439" s="296" t="s">
        <v>116</v>
      </c>
      <c r="J439" s="295">
        <v>160</v>
      </c>
      <c r="K439" s="81"/>
      <c r="L439" s="230"/>
      <c r="M439" s="83" t="s">
        <v>486</v>
      </c>
      <c r="N439" s="80">
        <v>0</v>
      </c>
      <c r="O439" s="79">
        <v>1</v>
      </c>
      <c r="P439" s="80" t="s">
        <v>1006</v>
      </c>
      <c r="Q439" s="79" t="s">
        <v>683</v>
      </c>
      <c r="R439" s="550" t="s">
        <v>488</v>
      </c>
      <c r="S439" s="72">
        <f t="shared" si="28"/>
        <v>0</v>
      </c>
      <c r="T439" s="72">
        <f t="shared" si="25"/>
        <v>0</v>
      </c>
      <c r="U439" s="189">
        <v>1</v>
      </c>
      <c r="V439" s="297">
        <v>1</v>
      </c>
    </row>
    <row r="440" spans="1:22" s="46" customFormat="1" ht="18" customHeight="1" x14ac:dyDescent="0.25">
      <c r="A440" s="743"/>
      <c r="B440" s="777"/>
      <c r="C440" s="746"/>
      <c r="D440" s="788"/>
      <c r="E440" s="556"/>
      <c r="F440" s="557"/>
      <c r="G440" s="558"/>
      <c r="H440" s="791"/>
      <c r="I440" s="296" t="s">
        <v>119</v>
      </c>
      <c r="J440" s="295">
        <v>160</v>
      </c>
      <c r="K440" s="81"/>
      <c r="L440" s="230"/>
      <c r="M440" s="83" t="s">
        <v>486</v>
      </c>
      <c r="N440" s="80">
        <v>190</v>
      </c>
      <c r="O440" s="79">
        <v>5</v>
      </c>
      <c r="P440" s="80" t="s">
        <v>1006</v>
      </c>
      <c r="Q440" s="81"/>
      <c r="R440" s="550" t="s">
        <v>488</v>
      </c>
      <c r="S440" s="72">
        <f t="shared" si="28"/>
        <v>63</v>
      </c>
      <c r="T440" s="72">
        <f t="shared" si="25"/>
        <v>21</v>
      </c>
      <c r="U440" s="72">
        <f t="shared" si="26"/>
        <v>2</v>
      </c>
      <c r="V440" s="86">
        <f t="shared" si="27"/>
        <v>1</v>
      </c>
    </row>
    <row r="441" spans="1:22" s="46" customFormat="1" ht="18" customHeight="1" thickBot="1" x14ac:dyDescent="0.3">
      <c r="A441" s="743"/>
      <c r="B441" s="777"/>
      <c r="C441" s="746"/>
      <c r="D441" s="788"/>
      <c r="E441" s="556"/>
      <c r="F441" s="557"/>
      <c r="G441" s="558"/>
      <c r="H441" s="792"/>
      <c r="I441" s="568" t="s">
        <v>115</v>
      </c>
      <c r="J441" s="569">
        <v>160</v>
      </c>
      <c r="K441" s="181"/>
      <c r="L441" s="238"/>
      <c r="M441" s="215" t="s">
        <v>486</v>
      </c>
      <c r="N441" s="180">
        <v>0</v>
      </c>
      <c r="O441" s="179">
        <v>2</v>
      </c>
      <c r="P441" s="180" t="s">
        <v>1006</v>
      </c>
      <c r="Q441" s="179" t="s">
        <v>1021</v>
      </c>
      <c r="R441" s="570" t="s">
        <v>488</v>
      </c>
      <c r="S441" s="72">
        <f t="shared" si="28"/>
        <v>0</v>
      </c>
      <c r="T441" s="72">
        <f t="shared" si="25"/>
        <v>0</v>
      </c>
      <c r="U441" s="189">
        <v>2</v>
      </c>
      <c r="V441" s="297">
        <v>2</v>
      </c>
    </row>
    <row r="442" spans="1:22" s="46" customFormat="1" ht="18" customHeight="1" x14ac:dyDescent="0.25">
      <c r="A442" s="743"/>
      <c r="B442" s="777"/>
      <c r="C442" s="746"/>
      <c r="D442" s="788"/>
      <c r="E442" s="556"/>
      <c r="F442" s="557"/>
      <c r="G442" s="558"/>
      <c r="H442" s="571"/>
      <c r="I442" s="219" t="s">
        <v>1022</v>
      </c>
      <c r="J442" s="220">
        <v>250</v>
      </c>
      <c r="K442" s="221"/>
      <c r="L442" s="222"/>
      <c r="M442" s="92" t="s">
        <v>486</v>
      </c>
      <c r="N442" s="220">
        <v>96</v>
      </c>
      <c r="O442" s="219">
        <v>3</v>
      </c>
      <c r="P442" s="220" t="s">
        <v>1006</v>
      </c>
      <c r="Q442" s="219" t="s">
        <v>525</v>
      </c>
      <c r="R442" s="226" t="s">
        <v>1023</v>
      </c>
      <c r="S442" s="72">
        <f t="shared" si="28"/>
        <v>32</v>
      </c>
      <c r="T442" s="72">
        <f t="shared" si="25"/>
        <v>11</v>
      </c>
      <c r="U442" s="72">
        <f t="shared" si="26"/>
        <v>1</v>
      </c>
      <c r="V442" s="86">
        <f t="shared" si="27"/>
        <v>0</v>
      </c>
    </row>
    <row r="443" spans="1:22" s="46" customFormat="1" ht="18" customHeight="1" x14ac:dyDescent="0.25">
      <c r="A443" s="743"/>
      <c r="B443" s="777"/>
      <c r="C443" s="746"/>
      <c r="D443" s="788"/>
      <c r="E443" s="556"/>
      <c r="F443" s="557"/>
      <c r="G443" s="558"/>
      <c r="H443" s="557"/>
      <c r="I443" s="296" t="s">
        <v>117</v>
      </c>
      <c r="J443" s="295">
        <v>160</v>
      </c>
      <c r="K443" s="81"/>
      <c r="L443" s="230"/>
      <c r="M443" s="83" t="s">
        <v>486</v>
      </c>
      <c r="N443" s="80">
        <v>226</v>
      </c>
      <c r="O443" s="79">
        <v>10</v>
      </c>
      <c r="P443" s="80" t="s">
        <v>1006</v>
      </c>
      <c r="Q443" s="81"/>
      <c r="R443" s="550" t="s">
        <v>488</v>
      </c>
      <c r="S443" s="72">
        <f t="shared" si="28"/>
        <v>75</v>
      </c>
      <c r="T443" s="72">
        <f t="shared" si="25"/>
        <v>25</v>
      </c>
      <c r="U443" s="72">
        <f t="shared" si="26"/>
        <v>3</v>
      </c>
      <c r="V443" s="86">
        <f t="shared" si="27"/>
        <v>1</v>
      </c>
    </row>
    <row r="444" spans="1:22" s="46" customFormat="1" ht="18" customHeight="1" x14ac:dyDescent="0.25">
      <c r="A444" s="743"/>
      <c r="B444" s="777"/>
      <c r="C444" s="746"/>
      <c r="D444" s="788"/>
      <c r="E444" s="556"/>
      <c r="F444" s="557"/>
      <c r="G444" s="558"/>
      <c r="H444" s="557"/>
      <c r="I444" s="296" t="s">
        <v>166</v>
      </c>
      <c r="J444" s="295">
        <v>100</v>
      </c>
      <c r="K444" s="81"/>
      <c r="L444" s="230"/>
      <c r="M444" s="83" t="s">
        <v>486</v>
      </c>
      <c r="N444" s="80">
        <v>0</v>
      </c>
      <c r="O444" s="79">
        <v>3</v>
      </c>
      <c r="P444" s="80" t="s">
        <v>1006</v>
      </c>
      <c r="Q444" s="79" t="s">
        <v>561</v>
      </c>
      <c r="R444" s="550" t="s">
        <v>488</v>
      </c>
      <c r="S444" s="72">
        <f t="shared" si="28"/>
        <v>0</v>
      </c>
      <c r="T444" s="72">
        <f t="shared" si="25"/>
        <v>0</v>
      </c>
      <c r="U444" s="189">
        <v>3</v>
      </c>
      <c r="V444" s="297">
        <v>3</v>
      </c>
    </row>
    <row r="445" spans="1:22" s="46" customFormat="1" ht="18" customHeight="1" x14ac:dyDescent="0.25">
      <c r="A445" s="743"/>
      <c r="B445" s="777"/>
      <c r="C445" s="746"/>
      <c r="D445" s="788"/>
      <c r="E445" s="556"/>
      <c r="F445" s="572"/>
      <c r="G445" s="558"/>
      <c r="H445" s="557"/>
      <c r="I445" s="88" t="s">
        <v>1024</v>
      </c>
      <c r="J445" s="89">
        <v>40</v>
      </c>
      <c r="K445" s="90"/>
      <c r="L445" s="229"/>
      <c r="M445" s="92" t="s">
        <v>486</v>
      </c>
      <c r="N445" s="89">
        <v>0</v>
      </c>
      <c r="O445" s="88">
        <v>1</v>
      </c>
      <c r="P445" s="89" t="s">
        <v>1006</v>
      </c>
      <c r="Q445" s="88" t="s">
        <v>1025</v>
      </c>
      <c r="R445" s="95" t="s">
        <v>1023</v>
      </c>
      <c r="S445" s="72">
        <f t="shared" si="28"/>
        <v>0</v>
      </c>
      <c r="T445" s="72">
        <f t="shared" si="25"/>
        <v>0</v>
      </c>
      <c r="U445" s="244">
        <v>1</v>
      </c>
      <c r="V445" s="188">
        <v>1</v>
      </c>
    </row>
    <row r="446" spans="1:22" s="46" customFormat="1" ht="18" customHeight="1" thickBot="1" x14ac:dyDescent="0.3">
      <c r="A446" s="743"/>
      <c r="B446" s="777"/>
      <c r="C446" s="746"/>
      <c r="D446" s="789"/>
      <c r="E446" s="573"/>
      <c r="F446" s="574"/>
      <c r="G446" s="575"/>
      <c r="H446" s="574"/>
      <c r="I446" s="568" t="s">
        <v>1026</v>
      </c>
      <c r="J446" s="569">
        <v>100</v>
      </c>
      <c r="K446" s="181"/>
      <c r="L446" s="238"/>
      <c r="M446" s="215" t="s">
        <v>486</v>
      </c>
      <c r="N446" s="180">
        <v>81</v>
      </c>
      <c r="O446" s="179">
        <v>1</v>
      </c>
      <c r="P446" s="180" t="s">
        <v>1006</v>
      </c>
      <c r="Q446" s="181"/>
      <c r="R446" s="570" t="s">
        <v>488</v>
      </c>
      <c r="S446" s="72">
        <f t="shared" si="28"/>
        <v>27</v>
      </c>
      <c r="T446" s="72">
        <f t="shared" si="25"/>
        <v>9</v>
      </c>
      <c r="U446" s="72">
        <f t="shared" si="26"/>
        <v>0</v>
      </c>
      <c r="V446" s="86">
        <f t="shared" si="27"/>
        <v>0</v>
      </c>
    </row>
    <row r="447" spans="1:22" s="46" customFormat="1" ht="18" customHeight="1" x14ac:dyDescent="0.25">
      <c r="A447" s="743"/>
      <c r="B447" s="777"/>
      <c r="C447" s="746"/>
      <c r="D447" s="745" t="s">
        <v>1027</v>
      </c>
      <c r="E447" s="576"/>
      <c r="F447" s="577"/>
      <c r="G447" s="578"/>
      <c r="H447" s="577"/>
      <c r="I447" s="262" t="s">
        <v>1028</v>
      </c>
      <c r="J447" s="263">
        <v>25</v>
      </c>
      <c r="K447" s="264"/>
      <c r="L447" s="265"/>
      <c r="M447" s="266" t="s">
        <v>486</v>
      </c>
      <c r="N447" s="263">
        <v>0</v>
      </c>
      <c r="O447" s="262">
        <v>1</v>
      </c>
      <c r="P447" s="263" t="s">
        <v>1006</v>
      </c>
      <c r="Q447" s="262" t="s">
        <v>973</v>
      </c>
      <c r="R447" s="269" t="s">
        <v>878</v>
      </c>
      <c r="S447" s="72">
        <f t="shared" si="28"/>
        <v>0</v>
      </c>
      <c r="T447" s="72">
        <f t="shared" si="25"/>
        <v>0</v>
      </c>
      <c r="U447" s="244">
        <v>1</v>
      </c>
      <c r="V447" s="188">
        <v>1</v>
      </c>
    </row>
    <row r="448" spans="1:22" s="46" customFormat="1" ht="18" customHeight="1" x14ac:dyDescent="0.25">
      <c r="A448" s="743"/>
      <c r="B448" s="777"/>
      <c r="C448" s="746"/>
      <c r="D448" s="746"/>
      <c r="E448" s="556"/>
      <c r="F448" s="557"/>
      <c r="G448" s="558"/>
      <c r="H448" s="557"/>
      <c r="I448" s="88" t="s">
        <v>1029</v>
      </c>
      <c r="J448" s="89">
        <v>25</v>
      </c>
      <c r="K448" s="90"/>
      <c r="L448" s="229"/>
      <c r="M448" s="92" t="s">
        <v>486</v>
      </c>
      <c r="N448" s="89">
        <v>7</v>
      </c>
      <c r="O448" s="88">
        <v>0</v>
      </c>
      <c r="P448" s="89" t="s">
        <v>1006</v>
      </c>
      <c r="Q448" s="88" t="s">
        <v>1030</v>
      </c>
      <c r="R448" s="95" t="s">
        <v>329</v>
      </c>
      <c r="S448" s="72">
        <f t="shared" si="28"/>
        <v>2</v>
      </c>
      <c r="T448" s="72">
        <f t="shared" si="25"/>
        <v>1</v>
      </c>
      <c r="U448" s="72">
        <f t="shared" si="26"/>
        <v>0</v>
      </c>
      <c r="V448" s="86">
        <f t="shared" si="27"/>
        <v>0</v>
      </c>
    </row>
    <row r="449" spans="1:22" s="46" customFormat="1" ht="18" customHeight="1" x14ac:dyDescent="0.25">
      <c r="A449" s="743"/>
      <c r="B449" s="777"/>
      <c r="C449" s="746"/>
      <c r="D449" s="746"/>
      <c r="E449" s="556"/>
      <c r="F449" s="557"/>
      <c r="G449" s="558"/>
      <c r="H449" s="557"/>
      <c r="I449" s="88" t="s">
        <v>1031</v>
      </c>
      <c r="J449" s="89">
        <v>4</v>
      </c>
      <c r="K449" s="90"/>
      <c r="L449" s="229"/>
      <c r="M449" s="92" t="s">
        <v>486</v>
      </c>
      <c r="N449" s="89">
        <v>0</v>
      </c>
      <c r="O449" s="88">
        <v>1</v>
      </c>
      <c r="P449" s="89" t="s">
        <v>775</v>
      </c>
      <c r="Q449" s="88" t="s">
        <v>1032</v>
      </c>
      <c r="R449" s="95" t="s">
        <v>1033</v>
      </c>
      <c r="S449" s="72">
        <f t="shared" si="28"/>
        <v>0</v>
      </c>
      <c r="T449" s="72">
        <f t="shared" si="25"/>
        <v>0</v>
      </c>
      <c r="U449" s="244">
        <v>1</v>
      </c>
      <c r="V449" s="188">
        <v>1</v>
      </c>
    </row>
    <row r="450" spans="1:22" s="46" customFormat="1" ht="18" customHeight="1" x14ac:dyDescent="0.25">
      <c r="A450" s="743"/>
      <c r="B450" s="777"/>
      <c r="C450" s="746"/>
      <c r="D450" s="746"/>
      <c r="E450" s="556"/>
      <c r="F450" s="557"/>
      <c r="G450" s="558"/>
      <c r="H450" s="557"/>
      <c r="I450" s="252" t="s">
        <v>280</v>
      </c>
      <c r="J450" s="253">
        <v>4</v>
      </c>
      <c r="K450" s="254"/>
      <c r="L450" s="255"/>
      <c r="M450" s="256" t="s">
        <v>486</v>
      </c>
      <c r="N450" s="253">
        <v>0</v>
      </c>
      <c r="O450" s="252">
        <v>1</v>
      </c>
      <c r="P450" s="253" t="s">
        <v>1034</v>
      </c>
      <c r="Q450" s="252"/>
      <c r="R450" s="257" t="s">
        <v>1035</v>
      </c>
      <c r="S450" s="72">
        <f t="shared" si="28"/>
        <v>0</v>
      </c>
      <c r="T450" s="72">
        <f t="shared" si="25"/>
        <v>0</v>
      </c>
      <c r="U450" s="244">
        <v>1</v>
      </c>
      <c r="V450" s="188">
        <v>1</v>
      </c>
    </row>
    <row r="451" spans="1:22" s="46" customFormat="1" ht="18" customHeight="1" x14ac:dyDescent="0.25">
      <c r="A451" s="743"/>
      <c r="B451" s="777"/>
      <c r="C451" s="746"/>
      <c r="D451" s="746"/>
      <c r="E451" s="556"/>
      <c r="F451" s="557"/>
      <c r="G451" s="558"/>
      <c r="H451" s="557"/>
      <c r="I451" s="252" t="s">
        <v>281</v>
      </c>
      <c r="J451" s="253">
        <v>4</v>
      </c>
      <c r="K451" s="254"/>
      <c r="L451" s="255"/>
      <c r="M451" s="256" t="s">
        <v>486</v>
      </c>
      <c r="N451" s="253">
        <v>0</v>
      </c>
      <c r="O451" s="252">
        <v>1</v>
      </c>
      <c r="P451" s="253" t="s">
        <v>1034</v>
      </c>
      <c r="Q451" s="252"/>
      <c r="R451" s="257" t="s">
        <v>1035</v>
      </c>
      <c r="S451" s="72">
        <f t="shared" si="28"/>
        <v>0</v>
      </c>
      <c r="T451" s="72">
        <f t="shared" si="25"/>
        <v>0</v>
      </c>
      <c r="U451" s="244">
        <v>1</v>
      </c>
      <c r="V451" s="188">
        <v>1</v>
      </c>
    </row>
    <row r="452" spans="1:22" s="46" customFormat="1" ht="18" customHeight="1" thickBot="1" x14ac:dyDescent="0.3">
      <c r="A452" s="743"/>
      <c r="B452" s="777"/>
      <c r="C452" s="773"/>
      <c r="D452" s="773"/>
      <c r="E452" s="573"/>
      <c r="F452" s="574"/>
      <c r="G452" s="575"/>
      <c r="H452" s="574"/>
      <c r="I452" s="192" t="s">
        <v>1036</v>
      </c>
      <c r="J452" s="193">
        <v>1000</v>
      </c>
      <c r="K452" s="579">
        <v>1000</v>
      </c>
      <c r="L452" s="303"/>
      <c r="M452" s="196" t="s">
        <v>486</v>
      </c>
      <c r="N452" s="580"/>
      <c r="O452" s="581"/>
      <c r="P452" s="193" t="s">
        <v>1006</v>
      </c>
      <c r="Q452" s="304" t="s">
        <v>1037</v>
      </c>
      <c r="R452" s="198" t="s">
        <v>251</v>
      </c>
      <c r="S452" s="72">
        <f t="shared" si="28"/>
        <v>0</v>
      </c>
      <c r="T452" s="72">
        <f t="shared" si="25"/>
        <v>0</v>
      </c>
      <c r="U452" s="96">
        <v>0</v>
      </c>
      <c r="V452" s="97">
        <v>0</v>
      </c>
    </row>
    <row r="453" spans="1:22" s="46" customFormat="1" ht="18" customHeight="1" x14ac:dyDescent="0.25">
      <c r="A453" s="743"/>
      <c r="B453" s="756"/>
      <c r="C453" s="739" t="s">
        <v>1038</v>
      </c>
      <c r="D453" s="749"/>
      <c r="E453" s="577"/>
      <c r="F453" s="577"/>
      <c r="G453" s="578"/>
      <c r="H453" s="577"/>
      <c r="I453" s="287" t="s">
        <v>228</v>
      </c>
      <c r="J453" s="288">
        <v>50</v>
      </c>
      <c r="K453" s="178"/>
      <c r="L453" s="243"/>
      <c r="M453" s="70" t="s">
        <v>486</v>
      </c>
      <c r="N453" s="68">
        <v>48</v>
      </c>
      <c r="O453" s="67">
        <v>1</v>
      </c>
      <c r="P453" s="68" t="s">
        <v>961</v>
      </c>
      <c r="Q453" s="199"/>
      <c r="R453" s="289" t="s">
        <v>488</v>
      </c>
      <c r="S453" s="72">
        <f t="shared" si="28"/>
        <v>16</v>
      </c>
      <c r="T453" s="72">
        <f t="shared" si="25"/>
        <v>5</v>
      </c>
      <c r="U453" s="72">
        <f t="shared" si="26"/>
        <v>0</v>
      </c>
      <c r="V453" s="86">
        <f t="shared" si="27"/>
        <v>0</v>
      </c>
    </row>
    <row r="454" spans="1:22" s="46" customFormat="1" ht="18" customHeight="1" x14ac:dyDescent="0.25">
      <c r="A454" s="743"/>
      <c r="B454" s="756"/>
      <c r="C454" s="746"/>
      <c r="D454" s="788"/>
      <c r="E454" s="557"/>
      <c r="F454" s="557"/>
      <c r="G454" s="558"/>
      <c r="H454" s="557"/>
      <c r="I454" s="296" t="s">
        <v>1039</v>
      </c>
      <c r="J454" s="295">
        <v>25</v>
      </c>
      <c r="K454" s="81"/>
      <c r="L454" s="230"/>
      <c r="M454" s="83" t="s">
        <v>486</v>
      </c>
      <c r="N454" s="80">
        <v>0</v>
      </c>
      <c r="O454" s="79">
        <v>1</v>
      </c>
      <c r="P454" s="80" t="s">
        <v>1040</v>
      </c>
      <c r="Q454" s="79" t="s">
        <v>715</v>
      </c>
      <c r="R454" s="550" t="s">
        <v>488</v>
      </c>
      <c r="S454" s="72">
        <f t="shared" si="28"/>
        <v>0</v>
      </c>
      <c r="T454" s="72">
        <f t="shared" si="25"/>
        <v>0</v>
      </c>
      <c r="U454" s="189">
        <v>1</v>
      </c>
      <c r="V454" s="297">
        <v>1</v>
      </c>
    </row>
    <row r="455" spans="1:22" s="46" customFormat="1" ht="18" customHeight="1" x14ac:dyDescent="0.25">
      <c r="A455" s="743"/>
      <c r="B455" s="756"/>
      <c r="C455" s="746"/>
      <c r="D455" s="788"/>
      <c r="E455" s="557"/>
      <c r="F455" s="557"/>
      <c r="G455" s="558"/>
      <c r="H455" s="557"/>
      <c r="I455" s="296" t="s">
        <v>253</v>
      </c>
      <c r="J455" s="295">
        <v>160</v>
      </c>
      <c r="K455" s="81"/>
      <c r="L455" s="230"/>
      <c r="M455" s="83" t="s">
        <v>486</v>
      </c>
      <c r="N455" s="80">
        <v>108</v>
      </c>
      <c r="O455" s="79">
        <v>3</v>
      </c>
      <c r="P455" s="80" t="s">
        <v>1040</v>
      </c>
      <c r="Q455" s="81"/>
      <c r="R455" s="550" t="s">
        <v>488</v>
      </c>
      <c r="S455" s="72">
        <f t="shared" si="28"/>
        <v>36</v>
      </c>
      <c r="T455" s="72">
        <f t="shared" si="25"/>
        <v>12</v>
      </c>
      <c r="U455" s="72">
        <f t="shared" si="26"/>
        <v>1</v>
      </c>
      <c r="V455" s="86">
        <f t="shared" si="27"/>
        <v>0</v>
      </c>
    </row>
    <row r="456" spans="1:22" s="46" customFormat="1" ht="18" customHeight="1" x14ac:dyDescent="0.25">
      <c r="A456" s="743"/>
      <c r="B456" s="756"/>
      <c r="C456" s="746"/>
      <c r="D456" s="788"/>
      <c r="E456" s="557"/>
      <c r="F456" s="557"/>
      <c r="G456" s="558"/>
      <c r="H456" s="557"/>
      <c r="I456" s="296" t="s">
        <v>214</v>
      </c>
      <c r="J456" s="295">
        <v>160</v>
      </c>
      <c r="K456" s="81"/>
      <c r="L456" s="230"/>
      <c r="M456" s="83" t="s">
        <v>486</v>
      </c>
      <c r="N456" s="80">
        <v>160</v>
      </c>
      <c r="O456" s="79">
        <v>11</v>
      </c>
      <c r="P456" s="80" t="s">
        <v>1040</v>
      </c>
      <c r="Q456" s="81"/>
      <c r="R456" s="550" t="s">
        <v>488</v>
      </c>
      <c r="S456" s="72">
        <f t="shared" si="28"/>
        <v>53</v>
      </c>
      <c r="T456" s="72">
        <f t="shared" si="25"/>
        <v>18</v>
      </c>
      <c r="U456" s="72">
        <f t="shared" si="26"/>
        <v>4</v>
      </c>
      <c r="V456" s="86">
        <f t="shared" si="27"/>
        <v>1</v>
      </c>
    </row>
    <row r="457" spans="1:22" s="46" customFormat="1" ht="18" customHeight="1" x14ac:dyDescent="0.25">
      <c r="A457" s="743"/>
      <c r="B457" s="756"/>
      <c r="C457" s="746"/>
      <c r="D457" s="788"/>
      <c r="E457" s="557"/>
      <c r="F457" s="557"/>
      <c r="G457" s="558"/>
      <c r="H457" s="557"/>
      <c r="I457" s="296" t="s">
        <v>229</v>
      </c>
      <c r="J457" s="295">
        <v>100</v>
      </c>
      <c r="K457" s="81"/>
      <c r="L457" s="230"/>
      <c r="M457" s="83" t="s">
        <v>486</v>
      </c>
      <c r="N457" s="80">
        <v>158</v>
      </c>
      <c r="O457" s="79">
        <v>7</v>
      </c>
      <c r="P457" s="80" t="s">
        <v>1040</v>
      </c>
      <c r="Q457" s="81"/>
      <c r="R457" s="550" t="s">
        <v>488</v>
      </c>
      <c r="S457" s="72">
        <f t="shared" si="28"/>
        <v>53</v>
      </c>
      <c r="T457" s="72">
        <f t="shared" si="25"/>
        <v>18</v>
      </c>
      <c r="U457" s="72">
        <f t="shared" si="26"/>
        <v>2</v>
      </c>
      <c r="V457" s="86">
        <f t="shared" si="27"/>
        <v>1</v>
      </c>
    </row>
    <row r="458" spans="1:22" s="46" customFormat="1" ht="18" customHeight="1" x14ac:dyDescent="0.25">
      <c r="A458" s="743"/>
      <c r="B458" s="756"/>
      <c r="C458" s="746"/>
      <c r="D458" s="788"/>
      <c r="E458" s="557"/>
      <c r="F458" s="557"/>
      <c r="G458" s="558"/>
      <c r="H458" s="557"/>
      <c r="I458" s="296" t="s">
        <v>215</v>
      </c>
      <c r="J458" s="295">
        <v>250</v>
      </c>
      <c r="K458" s="81">
        <v>250</v>
      </c>
      <c r="L458" s="230"/>
      <c r="M458" s="83" t="s">
        <v>486</v>
      </c>
      <c r="N458" s="80">
        <v>119</v>
      </c>
      <c r="O458" s="79">
        <v>3</v>
      </c>
      <c r="P458" s="80" t="s">
        <v>1040</v>
      </c>
      <c r="Q458" s="79" t="s">
        <v>525</v>
      </c>
      <c r="R458" s="550" t="s">
        <v>488</v>
      </c>
      <c r="S458" s="72">
        <f t="shared" si="28"/>
        <v>40</v>
      </c>
      <c r="T458" s="72">
        <f t="shared" ref="T458:T521" si="29">ROUND(S458/3,0)</f>
        <v>13</v>
      </c>
      <c r="U458" s="72">
        <f t="shared" si="26"/>
        <v>1</v>
      </c>
      <c r="V458" s="86">
        <f t="shared" si="27"/>
        <v>0</v>
      </c>
    </row>
    <row r="459" spans="1:22" s="46" customFormat="1" ht="18" customHeight="1" x14ac:dyDescent="0.25">
      <c r="A459" s="743"/>
      <c r="B459" s="756"/>
      <c r="C459" s="746"/>
      <c r="D459" s="788"/>
      <c r="E459" s="557"/>
      <c r="F459" s="557"/>
      <c r="G459" s="558"/>
      <c r="H459" s="557"/>
      <c r="I459" s="296" t="s">
        <v>217</v>
      </c>
      <c r="J459" s="295">
        <v>160</v>
      </c>
      <c r="K459" s="81"/>
      <c r="L459" s="230"/>
      <c r="M459" s="83" t="s">
        <v>486</v>
      </c>
      <c r="N459" s="80">
        <v>0</v>
      </c>
      <c r="O459" s="79">
        <v>1</v>
      </c>
      <c r="P459" s="80" t="s">
        <v>1040</v>
      </c>
      <c r="Q459" s="81"/>
      <c r="R459" s="550" t="s">
        <v>488</v>
      </c>
      <c r="S459" s="72">
        <f t="shared" si="28"/>
        <v>0</v>
      </c>
      <c r="T459" s="72">
        <f t="shared" si="29"/>
        <v>0</v>
      </c>
      <c r="U459" s="189">
        <v>1</v>
      </c>
      <c r="V459" s="297">
        <v>1</v>
      </c>
    </row>
    <row r="460" spans="1:22" s="46" customFormat="1" ht="18" customHeight="1" x14ac:dyDescent="0.25">
      <c r="A460" s="743"/>
      <c r="B460" s="756"/>
      <c r="C460" s="746"/>
      <c r="D460" s="788"/>
      <c r="E460" s="557"/>
      <c r="F460" s="557"/>
      <c r="G460" s="558"/>
      <c r="H460" s="557"/>
      <c r="I460" s="296" t="s">
        <v>213</v>
      </c>
      <c r="J460" s="295">
        <v>100</v>
      </c>
      <c r="K460" s="81"/>
      <c r="L460" s="230"/>
      <c r="M460" s="83" t="s">
        <v>486</v>
      </c>
      <c r="N460" s="80">
        <v>0</v>
      </c>
      <c r="O460" s="79">
        <v>3</v>
      </c>
      <c r="P460" s="80" t="s">
        <v>1040</v>
      </c>
      <c r="Q460" s="79" t="s">
        <v>704</v>
      </c>
      <c r="R460" s="550" t="s">
        <v>488</v>
      </c>
      <c r="S460" s="72">
        <f t="shared" si="28"/>
        <v>0</v>
      </c>
      <c r="T460" s="72">
        <f t="shared" si="29"/>
        <v>0</v>
      </c>
      <c r="U460" s="189">
        <v>3</v>
      </c>
      <c r="V460" s="297">
        <v>3</v>
      </c>
    </row>
    <row r="461" spans="1:22" s="46" customFormat="1" ht="18" customHeight="1" x14ac:dyDescent="0.25">
      <c r="A461" s="743"/>
      <c r="B461" s="756"/>
      <c r="C461" s="746"/>
      <c r="D461" s="788"/>
      <c r="E461" s="557"/>
      <c r="F461" s="557"/>
      <c r="G461" s="558"/>
      <c r="H461" s="557"/>
      <c r="I461" s="88" t="s">
        <v>241</v>
      </c>
      <c r="J461" s="89">
        <v>4</v>
      </c>
      <c r="K461" s="90"/>
      <c r="L461" s="229"/>
      <c r="M461" s="92" t="s">
        <v>486</v>
      </c>
      <c r="N461" s="93"/>
      <c r="O461" s="94"/>
      <c r="P461" s="89" t="s">
        <v>1040</v>
      </c>
      <c r="Q461" s="88" t="s">
        <v>973</v>
      </c>
      <c r="R461" s="95" t="s">
        <v>1041</v>
      </c>
      <c r="S461" s="72">
        <f t="shared" si="28"/>
        <v>0</v>
      </c>
      <c r="T461" s="72">
        <f t="shared" si="29"/>
        <v>0</v>
      </c>
      <c r="U461" s="96">
        <v>0</v>
      </c>
      <c r="V461" s="97">
        <v>0</v>
      </c>
    </row>
    <row r="462" spans="1:22" s="46" customFormat="1" ht="18" customHeight="1" thickBot="1" x14ac:dyDescent="0.3">
      <c r="A462" s="743"/>
      <c r="B462" s="756"/>
      <c r="C462" s="746"/>
      <c r="D462" s="788"/>
      <c r="E462" s="557"/>
      <c r="F462" s="557"/>
      <c r="G462" s="558"/>
      <c r="H462" s="564"/>
      <c r="I462" s="565" t="s">
        <v>248</v>
      </c>
      <c r="J462" s="566">
        <v>250</v>
      </c>
      <c r="K462" s="210"/>
      <c r="L462" s="234"/>
      <c r="M462" s="212" t="s">
        <v>486</v>
      </c>
      <c r="N462" s="209">
        <v>0</v>
      </c>
      <c r="O462" s="208">
        <v>5</v>
      </c>
      <c r="P462" s="209" t="s">
        <v>1040</v>
      </c>
      <c r="Q462" s="208" t="s">
        <v>561</v>
      </c>
      <c r="R462" s="567" t="s">
        <v>488</v>
      </c>
      <c r="S462" s="72">
        <f t="shared" si="28"/>
        <v>0</v>
      </c>
      <c r="T462" s="72">
        <f t="shared" si="29"/>
        <v>0</v>
      </c>
      <c r="U462" s="189">
        <v>5</v>
      </c>
      <c r="V462" s="297">
        <v>5</v>
      </c>
    </row>
    <row r="463" spans="1:22" s="46" customFormat="1" ht="18" customHeight="1" x14ac:dyDescent="0.25">
      <c r="A463" s="743"/>
      <c r="B463" s="756"/>
      <c r="C463" s="746"/>
      <c r="D463" s="788"/>
      <c r="E463" s="557"/>
      <c r="F463" s="557"/>
      <c r="G463" s="558"/>
      <c r="H463" s="790" t="s">
        <v>1042</v>
      </c>
      <c r="I463" s="262" t="s">
        <v>271</v>
      </c>
      <c r="J463" s="263">
        <v>25</v>
      </c>
      <c r="K463" s="264"/>
      <c r="L463" s="265"/>
      <c r="M463" s="266" t="s">
        <v>486</v>
      </c>
      <c r="N463" s="263">
        <v>0</v>
      </c>
      <c r="O463" s="300">
        <v>1</v>
      </c>
      <c r="P463" s="263" t="s">
        <v>1043</v>
      </c>
      <c r="Q463" s="262" t="s">
        <v>826</v>
      </c>
      <c r="R463" s="269" t="s">
        <v>1044</v>
      </c>
      <c r="S463" s="72">
        <f t="shared" si="28"/>
        <v>0</v>
      </c>
      <c r="T463" s="72">
        <f t="shared" si="29"/>
        <v>0</v>
      </c>
      <c r="U463" s="244">
        <v>1</v>
      </c>
      <c r="V463" s="188">
        <v>1</v>
      </c>
    </row>
    <row r="464" spans="1:22" s="46" customFormat="1" ht="18" customHeight="1" x14ac:dyDescent="0.25">
      <c r="A464" s="743"/>
      <c r="B464" s="756"/>
      <c r="C464" s="746"/>
      <c r="D464" s="788"/>
      <c r="E464" s="557"/>
      <c r="F464" s="557"/>
      <c r="G464" s="558"/>
      <c r="H464" s="791"/>
      <c r="I464" s="296" t="s">
        <v>221</v>
      </c>
      <c r="J464" s="295">
        <v>100</v>
      </c>
      <c r="K464" s="81"/>
      <c r="L464" s="230"/>
      <c r="M464" s="83" t="s">
        <v>486</v>
      </c>
      <c r="N464" s="80">
        <v>100</v>
      </c>
      <c r="O464" s="79">
        <v>0</v>
      </c>
      <c r="P464" s="80" t="s">
        <v>1043</v>
      </c>
      <c r="Q464" s="81"/>
      <c r="R464" s="550" t="s">
        <v>488</v>
      </c>
      <c r="S464" s="72">
        <f t="shared" si="28"/>
        <v>33</v>
      </c>
      <c r="T464" s="72">
        <f t="shared" si="29"/>
        <v>11</v>
      </c>
      <c r="U464" s="72">
        <f t="shared" ref="U464:U527" si="30">ROUND(O464/3,0)</f>
        <v>0</v>
      </c>
      <c r="V464" s="86">
        <f t="shared" ref="V464:V527" si="31">ROUND(U464/3,0)</f>
        <v>0</v>
      </c>
    </row>
    <row r="465" spans="1:22" s="46" customFormat="1" ht="18" customHeight="1" x14ac:dyDescent="0.25">
      <c r="A465" s="743"/>
      <c r="B465" s="756"/>
      <c r="C465" s="746"/>
      <c r="D465" s="788"/>
      <c r="E465" s="557"/>
      <c r="F465" s="557"/>
      <c r="G465" s="558"/>
      <c r="H465" s="791"/>
      <c r="I465" s="296" t="s">
        <v>235</v>
      </c>
      <c r="J465" s="295">
        <v>100</v>
      </c>
      <c r="K465" s="81"/>
      <c r="L465" s="230"/>
      <c r="M465" s="83" t="s">
        <v>486</v>
      </c>
      <c r="N465" s="80">
        <v>150</v>
      </c>
      <c r="O465" s="79">
        <v>7</v>
      </c>
      <c r="P465" s="80" t="s">
        <v>1043</v>
      </c>
      <c r="Q465" s="81"/>
      <c r="R465" s="550" t="s">
        <v>488</v>
      </c>
      <c r="S465" s="72">
        <f t="shared" si="28"/>
        <v>50</v>
      </c>
      <c r="T465" s="72">
        <f t="shared" si="29"/>
        <v>17</v>
      </c>
      <c r="U465" s="72">
        <f t="shared" si="30"/>
        <v>2</v>
      </c>
      <c r="V465" s="86">
        <f t="shared" si="31"/>
        <v>1</v>
      </c>
    </row>
    <row r="466" spans="1:22" s="46" customFormat="1" ht="18" customHeight="1" thickBot="1" x14ac:dyDescent="0.3">
      <c r="A466" s="743"/>
      <c r="B466" s="756"/>
      <c r="C466" s="746"/>
      <c r="D466" s="788"/>
      <c r="E466" s="557"/>
      <c r="F466" s="557"/>
      <c r="G466" s="558"/>
      <c r="H466" s="792"/>
      <c r="I466" s="568" t="s">
        <v>222</v>
      </c>
      <c r="J466" s="569">
        <v>60</v>
      </c>
      <c r="K466" s="181"/>
      <c r="L466" s="238"/>
      <c r="M466" s="215" t="s">
        <v>486</v>
      </c>
      <c r="N466" s="237">
        <v>64</v>
      </c>
      <c r="O466" s="582">
        <v>0</v>
      </c>
      <c r="P466" s="180" t="s">
        <v>1043</v>
      </c>
      <c r="Q466" s="181"/>
      <c r="R466" s="570" t="s">
        <v>488</v>
      </c>
      <c r="S466" s="72">
        <f t="shared" si="28"/>
        <v>21</v>
      </c>
      <c r="T466" s="72">
        <f t="shared" si="29"/>
        <v>7</v>
      </c>
      <c r="U466" s="72">
        <f t="shared" si="30"/>
        <v>0</v>
      </c>
      <c r="V466" s="86">
        <f t="shared" si="31"/>
        <v>0</v>
      </c>
    </row>
    <row r="467" spans="1:22" s="46" customFormat="1" ht="18" customHeight="1" thickBot="1" x14ac:dyDescent="0.3">
      <c r="A467" s="743"/>
      <c r="B467" s="756"/>
      <c r="C467" s="746"/>
      <c r="D467" s="788"/>
      <c r="E467" s="557"/>
      <c r="F467" s="557"/>
      <c r="G467" s="558"/>
      <c r="H467" s="571"/>
      <c r="I467" s="365" t="s">
        <v>1045</v>
      </c>
      <c r="J467" s="366">
        <v>40</v>
      </c>
      <c r="K467" s="583"/>
      <c r="L467" s="368"/>
      <c r="M467" s="369"/>
      <c r="N467" s="366">
        <v>0</v>
      </c>
      <c r="O467" s="365">
        <v>1</v>
      </c>
      <c r="P467" s="584" t="s">
        <v>1043</v>
      </c>
      <c r="Q467" s="583"/>
      <c r="R467" s="585" t="s">
        <v>1046</v>
      </c>
      <c r="S467" s="72">
        <f t="shared" si="28"/>
        <v>0</v>
      </c>
      <c r="T467" s="72">
        <f t="shared" si="29"/>
        <v>0</v>
      </c>
      <c r="U467" s="372">
        <v>1</v>
      </c>
      <c r="V467" s="373">
        <v>1</v>
      </c>
    </row>
    <row r="468" spans="1:22" s="46" customFormat="1" ht="18" customHeight="1" thickBot="1" x14ac:dyDescent="0.3">
      <c r="A468" s="743"/>
      <c r="B468" s="756"/>
      <c r="C468" s="746"/>
      <c r="D468" s="788"/>
      <c r="E468" s="557"/>
      <c r="F468" s="557"/>
      <c r="G468" s="558"/>
      <c r="H468" s="557"/>
      <c r="I468" s="568" t="s">
        <v>234</v>
      </c>
      <c r="J468" s="569">
        <v>100</v>
      </c>
      <c r="K468" s="181"/>
      <c r="L468" s="238"/>
      <c r="M468" s="183" t="s">
        <v>486</v>
      </c>
      <c r="N468" s="180">
        <v>65</v>
      </c>
      <c r="O468" s="179">
        <v>2</v>
      </c>
      <c r="P468" s="180" t="s">
        <v>1043</v>
      </c>
      <c r="Q468" s="181"/>
      <c r="R468" s="570" t="s">
        <v>488</v>
      </c>
      <c r="S468" s="72">
        <f t="shared" si="28"/>
        <v>22</v>
      </c>
      <c r="T468" s="72">
        <f t="shared" si="29"/>
        <v>7</v>
      </c>
      <c r="U468" s="72">
        <f t="shared" si="30"/>
        <v>1</v>
      </c>
      <c r="V468" s="86">
        <f t="shared" si="31"/>
        <v>0</v>
      </c>
    </row>
    <row r="469" spans="1:22" s="46" customFormat="1" ht="18" customHeight="1" x14ac:dyDescent="0.25">
      <c r="A469" s="743"/>
      <c r="B469" s="756"/>
      <c r="C469" s="746"/>
      <c r="D469" s="788"/>
      <c r="E469" s="557"/>
      <c r="F469" s="557"/>
      <c r="G469" s="558"/>
      <c r="H469" s="557"/>
      <c r="I469" s="296" t="s">
        <v>216</v>
      </c>
      <c r="J469" s="295">
        <v>250</v>
      </c>
      <c r="K469" s="81"/>
      <c r="L469" s="230"/>
      <c r="M469" s="83" t="s">
        <v>486</v>
      </c>
      <c r="N469" s="80">
        <v>47</v>
      </c>
      <c r="O469" s="79">
        <v>7</v>
      </c>
      <c r="P469" s="80" t="s">
        <v>1043</v>
      </c>
      <c r="Q469" s="79" t="s">
        <v>525</v>
      </c>
      <c r="R469" s="550" t="s">
        <v>488</v>
      </c>
      <c r="S469" s="72">
        <f t="shared" si="28"/>
        <v>16</v>
      </c>
      <c r="T469" s="72">
        <f t="shared" si="29"/>
        <v>5</v>
      </c>
      <c r="U469" s="72">
        <f t="shared" si="30"/>
        <v>2</v>
      </c>
      <c r="V469" s="86">
        <f t="shared" si="31"/>
        <v>1</v>
      </c>
    </row>
    <row r="470" spans="1:22" s="46" customFormat="1" ht="18" customHeight="1" x14ac:dyDescent="0.25">
      <c r="A470" s="743"/>
      <c r="B470" s="756"/>
      <c r="C470" s="746"/>
      <c r="D470" s="788"/>
      <c r="E470" s="564"/>
      <c r="F470" s="564"/>
      <c r="G470" s="586"/>
      <c r="H470" s="564"/>
      <c r="I470" s="88" t="s">
        <v>1047</v>
      </c>
      <c r="J470" s="89">
        <v>25</v>
      </c>
      <c r="K470" s="90"/>
      <c r="L470" s="229"/>
      <c r="M470" s="92" t="s">
        <v>486</v>
      </c>
      <c r="N470" s="89">
        <v>0</v>
      </c>
      <c r="O470" s="88">
        <v>1</v>
      </c>
      <c r="P470" s="89" t="s">
        <v>619</v>
      </c>
      <c r="Q470" s="88" t="s">
        <v>1048</v>
      </c>
      <c r="R470" s="95" t="s">
        <v>565</v>
      </c>
      <c r="S470" s="72">
        <f t="shared" ref="S470:S533" si="32">ROUND(N470/3,0)</f>
        <v>0</v>
      </c>
      <c r="T470" s="72">
        <f t="shared" si="29"/>
        <v>0</v>
      </c>
      <c r="U470" s="244">
        <v>1</v>
      </c>
      <c r="V470" s="188">
        <v>1</v>
      </c>
    </row>
    <row r="471" spans="1:22" s="46" customFormat="1" ht="18" customHeight="1" x14ac:dyDescent="0.25">
      <c r="A471" s="743"/>
      <c r="B471" s="756"/>
      <c r="C471" s="746"/>
      <c r="D471" s="788"/>
      <c r="E471" s="564"/>
      <c r="F471" s="564"/>
      <c r="G471" s="586"/>
      <c r="H471" s="564"/>
      <c r="I471" s="208" t="s">
        <v>1049</v>
      </c>
      <c r="J471" s="209">
        <v>60</v>
      </c>
      <c r="K471" s="210"/>
      <c r="L471" s="234"/>
      <c r="M471" s="320" t="s">
        <v>486</v>
      </c>
      <c r="N471" s="209">
        <v>0</v>
      </c>
      <c r="O471" s="208">
        <v>2</v>
      </c>
      <c r="P471" s="209" t="s">
        <v>619</v>
      </c>
      <c r="Q471" s="335" t="s">
        <v>567</v>
      </c>
      <c r="R471" s="213" t="s">
        <v>488</v>
      </c>
      <c r="S471" s="72">
        <f t="shared" si="32"/>
        <v>0</v>
      </c>
      <c r="T471" s="72">
        <f t="shared" si="29"/>
        <v>0</v>
      </c>
      <c r="U471" s="189">
        <v>2</v>
      </c>
      <c r="V471" s="297">
        <v>2</v>
      </c>
    </row>
    <row r="472" spans="1:22" s="46" customFormat="1" ht="18" customHeight="1" thickBot="1" x14ac:dyDescent="0.3">
      <c r="A472" s="744"/>
      <c r="B472" s="757"/>
      <c r="C472" s="773"/>
      <c r="D472" s="789"/>
      <c r="E472" s="574"/>
      <c r="F472" s="574"/>
      <c r="G472" s="575"/>
      <c r="H472" s="574"/>
      <c r="I472" s="570" t="s">
        <v>1050</v>
      </c>
      <c r="J472" s="569">
        <v>100</v>
      </c>
      <c r="K472" s="181"/>
      <c r="L472" s="238"/>
      <c r="M472" s="183" t="s">
        <v>486</v>
      </c>
      <c r="N472" s="180">
        <v>65</v>
      </c>
      <c r="O472" s="179">
        <v>2</v>
      </c>
      <c r="P472" s="180" t="s">
        <v>1043</v>
      </c>
      <c r="Q472" s="181"/>
      <c r="R472" s="570" t="s">
        <v>488</v>
      </c>
      <c r="S472" s="72">
        <f t="shared" si="32"/>
        <v>22</v>
      </c>
      <c r="T472" s="72">
        <f t="shared" si="29"/>
        <v>7</v>
      </c>
      <c r="U472" s="72">
        <f t="shared" si="30"/>
        <v>1</v>
      </c>
      <c r="V472" s="86">
        <f t="shared" si="31"/>
        <v>0</v>
      </c>
    </row>
    <row r="473" spans="1:22" s="46" customFormat="1" ht="18" customHeight="1" x14ac:dyDescent="0.25">
      <c r="A473" s="742" t="s">
        <v>1051</v>
      </c>
      <c r="B473" s="755" t="s">
        <v>484</v>
      </c>
      <c r="C473" s="739" t="s">
        <v>1052</v>
      </c>
      <c r="D473" s="749"/>
      <c r="E473" s="577"/>
      <c r="F473" s="577"/>
      <c r="G473" s="578"/>
      <c r="H473" s="577"/>
      <c r="I473" s="287" t="s">
        <v>267</v>
      </c>
      <c r="J473" s="288">
        <v>2500</v>
      </c>
      <c r="K473" s="178"/>
      <c r="L473" s="243"/>
      <c r="M473" s="70" t="s">
        <v>486</v>
      </c>
      <c r="N473" s="267"/>
      <c r="O473" s="268"/>
      <c r="P473" s="68" t="s">
        <v>1053</v>
      </c>
      <c r="Q473" s="406" t="s">
        <v>1054</v>
      </c>
      <c r="R473" s="289" t="s">
        <v>488</v>
      </c>
      <c r="S473" s="72">
        <f t="shared" si="32"/>
        <v>0</v>
      </c>
      <c r="T473" s="72">
        <f t="shared" si="29"/>
        <v>0</v>
      </c>
      <c r="U473" s="96">
        <v>0</v>
      </c>
      <c r="V473" s="97">
        <v>0</v>
      </c>
    </row>
    <row r="474" spans="1:22" s="46" customFormat="1" ht="18" customHeight="1" x14ac:dyDescent="0.25">
      <c r="A474" s="743"/>
      <c r="B474" s="756"/>
      <c r="C474" s="740"/>
      <c r="D474" s="750"/>
      <c r="E474" s="557"/>
      <c r="F474" s="557"/>
      <c r="G474" s="558"/>
      <c r="H474" s="557"/>
      <c r="I474" s="296" t="s">
        <v>266</v>
      </c>
      <c r="J474" s="295">
        <v>250</v>
      </c>
      <c r="K474" s="81"/>
      <c r="L474" s="230"/>
      <c r="M474" s="83" t="s">
        <v>486</v>
      </c>
      <c r="N474" s="93"/>
      <c r="O474" s="94"/>
      <c r="P474" s="80" t="s">
        <v>1053</v>
      </c>
      <c r="Q474" s="335" t="s">
        <v>1054</v>
      </c>
      <c r="R474" s="550" t="s">
        <v>488</v>
      </c>
      <c r="S474" s="72">
        <f t="shared" si="32"/>
        <v>0</v>
      </c>
      <c r="T474" s="72">
        <f t="shared" si="29"/>
        <v>0</v>
      </c>
      <c r="U474" s="96">
        <v>0</v>
      </c>
      <c r="V474" s="97">
        <v>0</v>
      </c>
    </row>
    <row r="475" spans="1:22" s="46" customFormat="1" ht="18" customHeight="1" x14ac:dyDescent="0.25">
      <c r="A475" s="743"/>
      <c r="B475" s="756"/>
      <c r="C475" s="740"/>
      <c r="D475" s="750"/>
      <c r="E475" s="557"/>
      <c r="F475" s="557"/>
      <c r="G475" s="558"/>
      <c r="H475" s="557"/>
      <c r="I475" s="88" t="s">
        <v>264</v>
      </c>
      <c r="J475" s="89">
        <v>25</v>
      </c>
      <c r="K475" s="90"/>
      <c r="L475" s="229"/>
      <c r="M475" s="92" t="s">
        <v>486</v>
      </c>
      <c r="N475" s="93"/>
      <c r="O475" s="94"/>
      <c r="P475" s="89" t="s">
        <v>1053</v>
      </c>
      <c r="Q475" s="225" t="s">
        <v>1055</v>
      </c>
      <c r="R475" s="95" t="s">
        <v>1056</v>
      </c>
      <c r="S475" s="72">
        <f t="shared" si="32"/>
        <v>0</v>
      </c>
      <c r="T475" s="72">
        <f t="shared" si="29"/>
        <v>0</v>
      </c>
      <c r="U475" s="96">
        <v>0</v>
      </c>
      <c r="V475" s="97">
        <v>0</v>
      </c>
    </row>
    <row r="476" spans="1:22" s="46" customFormat="1" ht="18" customHeight="1" thickBot="1" x14ac:dyDescent="0.3">
      <c r="A476" s="743"/>
      <c r="B476" s="756"/>
      <c r="C476" s="741"/>
      <c r="D476" s="754"/>
      <c r="E476" s="574"/>
      <c r="F476" s="574"/>
      <c r="G476" s="575"/>
      <c r="H476" s="574"/>
      <c r="I476" s="192" t="s">
        <v>265</v>
      </c>
      <c r="J476" s="193">
        <v>100</v>
      </c>
      <c r="K476" s="194"/>
      <c r="L476" s="303"/>
      <c r="M476" s="196" t="s">
        <v>486</v>
      </c>
      <c r="N476" s="239"/>
      <c r="O476" s="319"/>
      <c r="P476" s="193" t="s">
        <v>1053</v>
      </c>
      <c r="Q476" s="304" t="s">
        <v>1055</v>
      </c>
      <c r="R476" s="198" t="s">
        <v>1056</v>
      </c>
      <c r="S476" s="72">
        <f t="shared" si="32"/>
        <v>0</v>
      </c>
      <c r="T476" s="72">
        <f t="shared" si="29"/>
        <v>0</v>
      </c>
      <c r="U476" s="96">
        <v>0</v>
      </c>
      <c r="V476" s="97">
        <v>0</v>
      </c>
    </row>
    <row r="477" spans="1:22" s="46" customFormat="1" ht="18" customHeight="1" x14ac:dyDescent="0.25">
      <c r="A477" s="743"/>
      <c r="B477" s="756"/>
      <c r="C477" s="745" t="s">
        <v>1057</v>
      </c>
      <c r="D477" s="749"/>
      <c r="E477" s="577"/>
      <c r="F477" s="577"/>
      <c r="G477" s="578"/>
      <c r="H477" s="577"/>
      <c r="I477" s="262" t="s">
        <v>1058</v>
      </c>
      <c r="J477" s="263">
        <v>25</v>
      </c>
      <c r="K477" s="264"/>
      <c r="L477" s="265"/>
      <c r="M477" s="266" t="s">
        <v>486</v>
      </c>
      <c r="N477" s="263">
        <v>0</v>
      </c>
      <c r="O477" s="262">
        <v>1</v>
      </c>
      <c r="P477" s="263" t="s">
        <v>278</v>
      </c>
      <c r="Q477" s="262" t="s">
        <v>1059</v>
      </c>
      <c r="R477" s="269" t="s">
        <v>1060</v>
      </c>
      <c r="S477" s="72">
        <f t="shared" si="32"/>
        <v>0</v>
      </c>
      <c r="T477" s="72">
        <f t="shared" si="29"/>
        <v>0</v>
      </c>
      <c r="U477" s="244">
        <v>1</v>
      </c>
      <c r="V477" s="188">
        <v>1</v>
      </c>
    </row>
    <row r="478" spans="1:22" s="46" customFormat="1" ht="18" customHeight="1" thickBot="1" x14ac:dyDescent="0.3">
      <c r="A478" s="743"/>
      <c r="B478" s="756"/>
      <c r="C478" s="746"/>
      <c r="D478" s="750"/>
      <c r="E478" s="557"/>
      <c r="F478" s="557"/>
      <c r="G478" s="558"/>
      <c r="H478" s="557"/>
      <c r="I478" s="296" t="s">
        <v>220</v>
      </c>
      <c r="J478" s="295">
        <v>100</v>
      </c>
      <c r="K478" s="81"/>
      <c r="L478" s="230"/>
      <c r="M478" s="83" t="s">
        <v>486</v>
      </c>
      <c r="N478" s="80">
        <v>112</v>
      </c>
      <c r="O478" s="79">
        <v>2</v>
      </c>
      <c r="P478" s="80" t="s">
        <v>278</v>
      </c>
      <c r="Q478" s="81"/>
      <c r="R478" s="550" t="s">
        <v>488</v>
      </c>
      <c r="S478" s="72">
        <f t="shared" si="32"/>
        <v>37</v>
      </c>
      <c r="T478" s="72">
        <f t="shared" si="29"/>
        <v>12</v>
      </c>
      <c r="U478" s="72">
        <f t="shared" si="30"/>
        <v>1</v>
      </c>
      <c r="V478" s="86">
        <f t="shared" si="31"/>
        <v>0</v>
      </c>
    </row>
    <row r="479" spans="1:22" s="46" customFormat="1" ht="18" customHeight="1" thickBot="1" x14ac:dyDescent="0.3">
      <c r="A479" s="743"/>
      <c r="B479" s="756"/>
      <c r="C479" s="746"/>
      <c r="D479" s="750"/>
      <c r="E479" s="557"/>
      <c r="F479" s="557"/>
      <c r="G479" s="558"/>
      <c r="H479" s="557"/>
      <c r="I479" s="269" t="s">
        <v>282</v>
      </c>
      <c r="J479" s="485">
        <v>63</v>
      </c>
      <c r="K479" s="197"/>
      <c r="L479" s="395"/>
      <c r="M479" s="331" t="s">
        <v>486</v>
      </c>
      <c r="N479" s="485">
        <v>0</v>
      </c>
      <c r="O479" s="304">
        <v>1</v>
      </c>
      <c r="P479" s="485" t="s">
        <v>278</v>
      </c>
      <c r="Q479" s="304"/>
      <c r="R479" s="431" t="s">
        <v>1061</v>
      </c>
      <c r="S479" s="72">
        <f t="shared" si="32"/>
        <v>0</v>
      </c>
      <c r="T479" s="72">
        <f t="shared" si="29"/>
        <v>0</v>
      </c>
      <c r="U479" s="244">
        <v>1</v>
      </c>
      <c r="V479" s="188">
        <v>1</v>
      </c>
    </row>
    <row r="480" spans="1:22" s="46" customFormat="1" ht="18" customHeight="1" thickBot="1" x14ac:dyDescent="0.3">
      <c r="A480" s="743"/>
      <c r="B480" s="756"/>
      <c r="C480" s="746"/>
      <c r="D480" s="750"/>
      <c r="E480" s="557"/>
      <c r="F480" s="557"/>
      <c r="G480" s="558"/>
      <c r="H480" s="557"/>
      <c r="I480" s="269" t="s">
        <v>277</v>
      </c>
      <c r="J480" s="177">
        <v>63</v>
      </c>
      <c r="K480" s="587"/>
      <c r="L480" s="587"/>
      <c r="M480" s="588" t="s">
        <v>486</v>
      </c>
      <c r="N480" s="269">
        <v>0</v>
      </c>
      <c r="O480" s="375"/>
      <c r="P480" s="269" t="s">
        <v>278</v>
      </c>
      <c r="Q480" s="226"/>
      <c r="R480" s="226" t="s">
        <v>1062</v>
      </c>
      <c r="S480" s="72">
        <f t="shared" si="32"/>
        <v>0</v>
      </c>
      <c r="T480" s="72">
        <f t="shared" si="29"/>
        <v>0</v>
      </c>
      <c r="U480" s="96">
        <v>0</v>
      </c>
      <c r="V480" s="97">
        <v>0</v>
      </c>
    </row>
    <row r="481" spans="1:22" s="46" customFormat="1" ht="18" customHeight="1" x14ac:dyDescent="0.25">
      <c r="A481" s="743"/>
      <c r="B481" s="756"/>
      <c r="C481" s="746"/>
      <c r="D481" s="750"/>
      <c r="E481" s="557"/>
      <c r="F481" s="557"/>
      <c r="G481" s="558"/>
      <c r="H481" s="557"/>
      <c r="I481" s="269" t="s">
        <v>1063</v>
      </c>
      <c r="J481" s="177">
        <v>100</v>
      </c>
      <c r="K481" s="587"/>
      <c r="L481" s="587"/>
      <c r="M481" s="588" t="s">
        <v>486</v>
      </c>
      <c r="N481" s="269">
        <v>0</v>
      </c>
      <c r="O481" s="375"/>
      <c r="P481" s="269" t="s">
        <v>278</v>
      </c>
      <c r="Q481" s="226"/>
      <c r="R481" s="226" t="s">
        <v>1064</v>
      </c>
      <c r="S481" s="72">
        <f t="shared" si="32"/>
        <v>0</v>
      </c>
      <c r="T481" s="72">
        <f t="shared" si="29"/>
        <v>0</v>
      </c>
      <c r="U481" s="96">
        <v>0</v>
      </c>
      <c r="V481" s="97">
        <v>0</v>
      </c>
    </row>
    <row r="482" spans="1:22" s="46" customFormat="1" ht="18" customHeight="1" x14ac:dyDescent="0.25">
      <c r="A482" s="743"/>
      <c r="B482" s="756"/>
      <c r="C482" s="746"/>
      <c r="D482" s="750"/>
      <c r="E482" s="557"/>
      <c r="F482" s="557"/>
      <c r="G482" s="558"/>
      <c r="H482" s="557"/>
      <c r="I482" s="88" t="s">
        <v>259</v>
      </c>
      <c r="J482" s="89">
        <v>100</v>
      </c>
      <c r="K482" s="90"/>
      <c r="L482" s="229"/>
      <c r="M482" s="92" t="s">
        <v>486</v>
      </c>
      <c r="N482" s="89">
        <v>0</v>
      </c>
      <c r="O482" s="88">
        <v>4</v>
      </c>
      <c r="P482" s="89" t="s">
        <v>278</v>
      </c>
      <c r="Q482" s="88" t="s">
        <v>1065</v>
      </c>
      <c r="R482" s="95" t="s">
        <v>1066</v>
      </c>
      <c r="S482" s="72">
        <f t="shared" si="32"/>
        <v>0</v>
      </c>
      <c r="T482" s="72">
        <f t="shared" si="29"/>
        <v>0</v>
      </c>
      <c r="U482" s="244">
        <v>4</v>
      </c>
      <c r="V482" s="188">
        <v>4</v>
      </c>
    </row>
    <row r="483" spans="1:22" s="46" customFormat="1" ht="18" customHeight="1" x14ac:dyDescent="0.25">
      <c r="A483" s="743"/>
      <c r="B483" s="756"/>
      <c r="C483" s="746"/>
      <c r="D483" s="750"/>
      <c r="E483" s="557"/>
      <c r="F483" s="557"/>
      <c r="G483" s="558"/>
      <c r="H483" s="557"/>
      <c r="I483" s="88" t="s">
        <v>260</v>
      </c>
      <c r="J483" s="89">
        <v>100</v>
      </c>
      <c r="K483" s="90"/>
      <c r="L483" s="229"/>
      <c r="M483" s="145" t="s">
        <v>486</v>
      </c>
      <c r="N483" s="89">
        <v>0</v>
      </c>
      <c r="O483" s="88">
        <v>1</v>
      </c>
      <c r="P483" s="89" t="s">
        <v>278</v>
      </c>
      <c r="Q483" s="88" t="s">
        <v>1067</v>
      </c>
      <c r="R483" s="95" t="s">
        <v>1068</v>
      </c>
      <c r="S483" s="72">
        <f t="shared" si="32"/>
        <v>0</v>
      </c>
      <c r="T483" s="72">
        <f t="shared" si="29"/>
        <v>0</v>
      </c>
      <c r="U483" s="244">
        <v>1</v>
      </c>
      <c r="V483" s="188">
        <v>1</v>
      </c>
    </row>
    <row r="484" spans="1:22" s="46" customFormat="1" ht="18" customHeight="1" thickBot="1" x14ac:dyDescent="0.3">
      <c r="A484" s="743"/>
      <c r="B484" s="756"/>
      <c r="C484" s="746"/>
      <c r="D484" s="750"/>
      <c r="E484" s="589"/>
      <c r="F484" s="589"/>
      <c r="G484" s="589"/>
      <c r="H484" s="589"/>
      <c r="I484" s="590" t="s">
        <v>219</v>
      </c>
      <c r="J484" s="591">
        <v>160</v>
      </c>
      <c r="K484" s="592"/>
      <c r="L484" s="592"/>
      <c r="M484" s="593"/>
      <c r="N484" s="594"/>
      <c r="O484" s="594"/>
      <c r="P484" s="322" t="s">
        <v>278</v>
      </c>
      <c r="Q484" s="595"/>
      <c r="R484" s="570" t="s">
        <v>488</v>
      </c>
      <c r="S484" s="72">
        <f t="shared" si="32"/>
        <v>0</v>
      </c>
      <c r="T484" s="72">
        <f t="shared" si="29"/>
        <v>0</v>
      </c>
      <c r="U484" s="96">
        <v>0</v>
      </c>
      <c r="V484" s="97">
        <v>0</v>
      </c>
    </row>
    <row r="485" spans="1:22" s="46" customFormat="1" ht="18" customHeight="1" thickBot="1" x14ac:dyDescent="0.3">
      <c r="A485" s="743"/>
      <c r="B485" s="756"/>
      <c r="C485" s="746"/>
      <c r="D485" s="750"/>
      <c r="E485" s="589"/>
      <c r="F485" s="589"/>
      <c r="G485" s="589"/>
      <c r="H485" s="589"/>
      <c r="I485" s="432" t="s">
        <v>210</v>
      </c>
      <c r="J485" s="596">
        <v>400</v>
      </c>
      <c r="K485" s="597"/>
      <c r="L485" s="597"/>
      <c r="M485" s="598"/>
      <c r="N485" s="596">
        <v>53</v>
      </c>
      <c r="O485" s="596">
        <v>26</v>
      </c>
      <c r="P485" s="85" t="s">
        <v>278</v>
      </c>
      <c r="Q485" s="596"/>
      <c r="R485" s="570" t="s">
        <v>488</v>
      </c>
      <c r="S485" s="72">
        <f t="shared" si="32"/>
        <v>18</v>
      </c>
      <c r="T485" s="72">
        <f t="shared" si="29"/>
        <v>6</v>
      </c>
      <c r="U485" s="72">
        <f t="shared" si="30"/>
        <v>9</v>
      </c>
      <c r="V485" s="86">
        <f t="shared" si="31"/>
        <v>3</v>
      </c>
    </row>
    <row r="486" spans="1:22" s="46" customFormat="1" ht="18" customHeight="1" thickBot="1" x14ac:dyDescent="0.3">
      <c r="A486" s="743"/>
      <c r="B486" s="756"/>
      <c r="C486" s="773"/>
      <c r="D486" s="754"/>
      <c r="E486" s="599"/>
      <c r="F486" s="599"/>
      <c r="G486" s="599"/>
      <c r="H486" s="599"/>
      <c r="I486" s="380" t="s">
        <v>208</v>
      </c>
      <c r="J486" s="600">
        <v>250</v>
      </c>
      <c r="K486" s="601"/>
      <c r="L486" s="601"/>
      <c r="M486" s="602"/>
      <c r="N486" s="603"/>
      <c r="O486" s="603"/>
      <c r="P486" s="322" t="s">
        <v>278</v>
      </c>
      <c r="Q486" s="600"/>
      <c r="R486" s="570" t="s">
        <v>488</v>
      </c>
      <c r="S486" s="72">
        <f t="shared" si="32"/>
        <v>0</v>
      </c>
      <c r="T486" s="72">
        <f t="shared" si="29"/>
        <v>0</v>
      </c>
      <c r="U486" s="96">
        <v>0</v>
      </c>
      <c r="V486" s="97">
        <v>0</v>
      </c>
    </row>
    <row r="487" spans="1:22" s="46" customFormat="1" ht="18" customHeight="1" x14ac:dyDescent="0.25">
      <c r="A487" s="743"/>
      <c r="B487" s="756"/>
      <c r="C487" s="746" t="s">
        <v>1069</v>
      </c>
      <c r="D487" s="750"/>
      <c r="E487" s="577"/>
      <c r="F487" s="604"/>
      <c r="G487" s="578"/>
      <c r="H487" s="577"/>
      <c r="I487" s="262" t="s">
        <v>1070</v>
      </c>
      <c r="J487" s="263">
        <v>25</v>
      </c>
      <c r="K487" s="264"/>
      <c r="L487" s="265"/>
      <c r="M487" s="266" t="s">
        <v>486</v>
      </c>
      <c r="N487" s="263">
        <v>0</v>
      </c>
      <c r="O487" s="262">
        <v>1</v>
      </c>
      <c r="P487" s="263" t="s">
        <v>278</v>
      </c>
      <c r="Q487" s="301" t="s">
        <v>1071</v>
      </c>
      <c r="R487" s="269" t="s">
        <v>1072</v>
      </c>
      <c r="S487" s="72">
        <f t="shared" si="32"/>
        <v>0</v>
      </c>
      <c r="T487" s="72">
        <f t="shared" si="29"/>
        <v>0</v>
      </c>
      <c r="U487" s="244">
        <v>1</v>
      </c>
      <c r="V487" s="188">
        <v>1</v>
      </c>
    </row>
    <row r="488" spans="1:22" s="46" customFormat="1" ht="18" customHeight="1" thickBot="1" x14ac:dyDescent="0.3">
      <c r="A488" s="743"/>
      <c r="B488" s="756"/>
      <c r="C488" s="746"/>
      <c r="D488" s="750"/>
      <c r="E488" s="574"/>
      <c r="F488" s="574"/>
      <c r="G488" s="575"/>
      <c r="H488" s="574"/>
      <c r="I488" s="568" t="s">
        <v>239</v>
      </c>
      <c r="J488" s="569">
        <v>63</v>
      </c>
      <c r="K488" s="181"/>
      <c r="L488" s="238"/>
      <c r="M488" s="183" t="s">
        <v>486</v>
      </c>
      <c r="N488" s="180">
        <v>61</v>
      </c>
      <c r="O488" s="179">
        <v>1</v>
      </c>
      <c r="P488" s="180" t="s">
        <v>278</v>
      </c>
      <c r="Q488" s="273"/>
      <c r="R488" s="570" t="s">
        <v>488</v>
      </c>
      <c r="S488" s="72">
        <f t="shared" si="32"/>
        <v>20</v>
      </c>
      <c r="T488" s="72">
        <f t="shared" si="29"/>
        <v>7</v>
      </c>
      <c r="U488" s="72">
        <f t="shared" si="30"/>
        <v>0</v>
      </c>
      <c r="V488" s="86">
        <f t="shared" si="31"/>
        <v>0</v>
      </c>
    </row>
    <row r="489" spans="1:22" s="46" customFormat="1" ht="18" customHeight="1" x14ac:dyDescent="0.25">
      <c r="A489" s="743"/>
      <c r="B489" s="756"/>
      <c r="C489" s="745" t="s">
        <v>1073</v>
      </c>
      <c r="D489" s="739" t="s">
        <v>1074</v>
      </c>
      <c r="E489" s="577"/>
      <c r="F489" s="577"/>
      <c r="G489" s="578"/>
      <c r="H489" s="577"/>
      <c r="I489" s="287" t="s">
        <v>218</v>
      </c>
      <c r="J489" s="288">
        <v>100</v>
      </c>
      <c r="K489" s="178"/>
      <c r="L489" s="243"/>
      <c r="M489" s="70" t="s">
        <v>486</v>
      </c>
      <c r="N489" s="68">
        <v>142</v>
      </c>
      <c r="O489" s="67">
        <v>3</v>
      </c>
      <c r="P489" s="68" t="s">
        <v>1053</v>
      </c>
      <c r="Q489" s="199"/>
      <c r="R489" s="289" t="s">
        <v>488</v>
      </c>
      <c r="S489" s="72">
        <f t="shared" si="32"/>
        <v>47</v>
      </c>
      <c r="T489" s="72">
        <f t="shared" si="29"/>
        <v>16</v>
      </c>
      <c r="U489" s="72">
        <f t="shared" si="30"/>
        <v>1</v>
      </c>
      <c r="V489" s="86">
        <f t="shared" si="31"/>
        <v>0</v>
      </c>
    </row>
    <row r="490" spans="1:22" s="46" customFormat="1" ht="18" customHeight="1" x14ac:dyDescent="0.25">
      <c r="A490" s="743"/>
      <c r="B490" s="756"/>
      <c r="C490" s="746"/>
      <c r="D490" s="740"/>
      <c r="E490" s="557"/>
      <c r="F490" s="557"/>
      <c r="G490" s="558"/>
      <c r="H490" s="557"/>
      <c r="I490" s="296" t="s">
        <v>209</v>
      </c>
      <c r="J490" s="295">
        <v>100</v>
      </c>
      <c r="K490" s="81"/>
      <c r="L490" s="230"/>
      <c r="M490" s="83" t="s">
        <v>486</v>
      </c>
      <c r="N490" s="80">
        <v>162</v>
      </c>
      <c r="O490" s="79">
        <v>2</v>
      </c>
      <c r="P490" s="80" t="s">
        <v>1053</v>
      </c>
      <c r="Q490" s="81"/>
      <c r="R490" s="550" t="s">
        <v>488</v>
      </c>
      <c r="S490" s="72">
        <f t="shared" si="32"/>
        <v>54</v>
      </c>
      <c r="T490" s="72">
        <f t="shared" si="29"/>
        <v>18</v>
      </c>
      <c r="U490" s="72">
        <f t="shared" si="30"/>
        <v>1</v>
      </c>
      <c r="V490" s="86">
        <f t="shared" si="31"/>
        <v>0</v>
      </c>
    </row>
    <row r="491" spans="1:22" s="46" customFormat="1" ht="18" customHeight="1" x14ac:dyDescent="0.25">
      <c r="A491" s="743"/>
      <c r="B491" s="756"/>
      <c r="C491" s="746"/>
      <c r="D491" s="740"/>
      <c r="E491" s="557"/>
      <c r="F491" s="557"/>
      <c r="G491" s="558"/>
      <c r="H491" s="557"/>
      <c r="I491" s="88" t="s">
        <v>270</v>
      </c>
      <c r="J491" s="89">
        <v>63</v>
      </c>
      <c r="K491" s="90"/>
      <c r="L491" s="229"/>
      <c r="M491" s="92" t="s">
        <v>486</v>
      </c>
      <c r="N491" s="89">
        <v>0</v>
      </c>
      <c r="O491" s="88">
        <v>1</v>
      </c>
      <c r="P491" s="89" t="s">
        <v>1053</v>
      </c>
      <c r="Q491" s="88" t="s">
        <v>704</v>
      </c>
      <c r="R491" s="95" t="s">
        <v>1075</v>
      </c>
      <c r="S491" s="72">
        <f t="shared" si="32"/>
        <v>0</v>
      </c>
      <c r="T491" s="72">
        <f t="shared" si="29"/>
        <v>0</v>
      </c>
      <c r="U491" s="244">
        <v>1</v>
      </c>
      <c r="V491" s="188">
        <v>1</v>
      </c>
    </row>
    <row r="492" spans="1:22" s="46" customFormat="1" ht="18" customHeight="1" x14ac:dyDescent="0.25">
      <c r="A492" s="743"/>
      <c r="B492" s="756"/>
      <c r="C492" s="746"/>
      <c r="D492" s="740"/>
      <c r="E492" s="230"/>
      <c r="F492" s="230"/>
      <c r="G492" s="81"/>
      <c r="H492" s="230"/>
      <c r="I492" s="296" t="s">
        <v>240</v>
      </c>
      <c r="J492" s="295">
        <v>100</v>
      </c>
      <c r="K492" s="81"/>
      <c r="L492" s="230"/>
      <c r="M492" s="83" t="s">
        <v>486</v>
      </c>
      <c r="N492" s="80">
        <v>83</v>
      </c>
      <c r="O492" s="79">
        <v>14</v>
      </c>
      <c r="P492" s="80" t="s">
        <v>1053</v>
      </c>
      <c r="Q492" s="79" t="s">
        <v>669</v>
      </c>
      <c r="R492" s="550" t="s">
        <v>488</v>
      </c>
      <c r="S492" s="72">
        <f t="shared" si="32"/>
        <v>28</v>
      </c>
      <c r="T492" s="72">
        <f t="shared" si="29"/>
        <v>9</v>
      </c>
      <c r="U492" s="72">
        <f t="shared" si="30"/>
        <v>5</v>
      </c>
      <c r="V492" s="86">
        <f t="shared" si="31"/>
        <v>2</v>
      </c>
    </row>
    <row r="493" spans="1:22" s="46" customFormat="1" ht="18" customHeight="1" thickBot="1" x14ac:dyDescent="0.3">
      <c r="A493" s="744"/>
      <c r="B493" s="757"/>
      <c r="C493" s="773"/>
      <c r="D493" s="741"/>
      <c r="E493" s="238"/>
      <c r="F493" s="238"/>
      <c r="G493" s="181"/>
      <c r="H493" s="238"/>
      <c r="I493" s="568" t="s">
        <v>226</v>
      </c>
      <c r="J493" s="569">
        <v>160</v>
      </c>
      <c r="K493" s="181"/>
      <c r="L493" s="238"/>
      <c r="M493" s="183" t="s">
        <v>486</v>
      </c>
      <c r="N493" s="180">
        <v>161</v>
      </c>
      <c r="O493" s="179">
        <v>4</v>
      </c>
      <c r="P493" s="180" t="s">
        <v>1053</v>
      </c>
      <c r="Q493" s="273"/>
      <c r="R493" s="570" t="s">
        <v>488</v>
      </c>
      <c r="S493" s="72">
        <f t="shared" si="32"/>
        <v>54</v>
      </c>
      <c r="T493" s="72">
        <f t="shared" si="29"/>
        <v>18</v>
      </c>
      <c r="U493" s="72">
        <f t="shared" si="30"/>
        <v>1</v>
      </c>
      <c r="V493" s="86">
        <f t="shared" si="31"/>
        <v>0</v>
      </c>
    </row>
    <row r="494" spans="1:22" s="46" customFormat="1" ht="18" customHeight="1" x14ac:dyDescent="0.25">
      <c r="A494" s="742" t="s">
        <v>1076</v>
      </c>
      <c r="B494" s="755" t="s">
        <v>484</v>
      </c>
      <c r="C494" s="745" t="s">
        <v>1077</v>
      </c>
      <c r="D494" s="749"/>
      <c r="E494" s="243"/>
      <c r="F494" s="243"/>
      <c r="G494" s="178"/>
      <c r="H494" s="243"/>
      <c r="I494" s="262" t="s">
        <v>1078</v>
      </c>
      <c r="J494" s="263">
        <v>160</v>
      </c>
      <c r="K494" s="264"/>
      <c r="L494" s="265"/>
      <c r="M494" s="266" t="s">
        <v>486</v>
      </c>
      <c r="N494" s="263">
        <v>0</v>
      </c>
      <c r="O494" s="262">
        <v>2</v>
      </c>
      <c r="P494" s="263" t="s">
        <v>1079</v>
      </c>
      <c r="Q494" s="301" t="s">
        <v>561</v>
      </c>
      <c r="R494" s="269" t="s">
        <v>1080</v>
      </c>
      <c r="S494" s="72">
        <f t="shared" si="32"/>
        <v>0</v>
      </c>
      <c r="T494" s="72">
        <f t="shared" si="29"/>
        <v>0</v>
      </c>
      <c r="U494" s="244">
        <v>2</v>
      </c>
      <c r="V494" s="188">
        <v>2</v>
      </c>
    </row>
    <row r="495" spans="1:22" s="46" customFormat="1" ht="18" customHeight="1" x14ac:dyDescent="0.25">
      <c r="A495" s="743"/>
      <c r="B495" s="756"/>
      <c r="C495" s="746"/>
      <c r="D495" s="750"/>
      <c r="E495" s="230"/>
      <c r="F495" s="230"/>
      <c r="G495" s="81"/>
      <c r="H495" s="230"/>
      <c r="I495" s="296" t="s">
        <v>127</v>
      </c>
      <c r="J495" s="295">
        <v>160</v>
      </c>
      <c r="K495" s="325">
        <v>400</v>
      </c>
      <c r="L495" s="230"/>
      <c r="M495" s="83" t="s">
        <v>486</v>
      </c>
      <c r="N495" s="80">
        <v>104</v>
      </c>
      <c r="O495" s="79">
        <v>10</v>
      </c>
      <c r="P495" s="80" t="s">
        <v>1079</v>
      </c>
      <c r="Q495" s="79" t="s">
        <v>1081</v>
      </c>
      <c r="R495" s="550" t="s">
        <v>488</v>
      </c>
      <c r="S495" s="72">
        <f t="shared" si="32"/>
        <v>35</v>
      </c>
      <c r="T495" s="72">
        <f t="shared" si="29"/>
        <v>12</v>
      </c>
      <c r="U495" s="72">
        <f t="shared" si="30"/>
        <v>3</v>
      </c>
      <c r="V495" s="86">
        <f t="shared" si="31"/>
        <v>1</v>
      </c>
    </row>
    <row r="496" spans="1:22" s="46" customFormat="1" ht="18" customHeight="1" x14ac:dyDescent="0.25">
      <c r="A496" s="743"/>
      <c r="B496" s="756"/>
      <c r="C496" s="746"/>
      <c r="D496" s="750"/>
      <c r="E496" s="230"/>
      <c r="F496" s="230"/>
      <c r="G496" s="81"/>
      <c r="H496" s="230"/>
      <c r="I496" s="296" t="s">
        <v>136</v>
      </c>
      <c r="J496" s="295">
        <v>160</v>
      </c>
      <c r="K496" s="79">
        <v>50</v>
      </c>
      <c r="L496" s="230"/>
      <c r="M496" s="83" t="s">
        <v>486</v>
      </c>
      <c r="N496" s="80">
        <v>0</v>
      </c>
      <c r="O496" s="79">
        <v>1</v>
      </c>
      <c r="P496" s="80" t="s">
        <v>1079</v>
      </c>
      <c r="Q496" s="79" t="s">
        <v>567</v>
      </c>
      <c r="R496" s="550" t="s">
        <v>488</v>
      </c>
      <c r="S496" s="72">
        <f t="shared" si="32"/>
        <v>0</v>
      </c>
      <c r="T496" s="72">
        <f t="shared" si="29"/>
        <v>0</v>
      </c>
      <c r="U496" s="189">
        <v>1</v>
      </c>
      <c r="V496" s="297">
        <v>1</v>
      </c>
    </row>
    <row r="497" spans="1:22" s="46" customFormat="1" ht="18" customHeight="1" x14ac:dyDescent="0.25">
      <c r="A497" s="743"/>
      <c r="B497" s="756"/>
      <c r="C497" s="746"/>
      <c r="D497" s="750"/>
      <c r="E497" s="230"/>
      <c r="F497" s="230"/>
      <c r="G497" s="81"/>
      <c r="H497" s="230"/>
      <c r="I497" s="88" t="s">
        <v>246</v>
      </c>
      <c r="J497" s="89">
        <v>25</v>
      </c>
      <c r="K497" s="90"/>
      <c r="L497" s="229"/>
      <c r="M497" s="92" t="s">
        <v>486</v>
      </c>
      <c r="N497" s="89">
        <v>0</v>
      </c>
      <c r="O497" s="88">
        <v>1</v>
      </c>
      <c r="P497" s="89" t="s">
        <v>1079</v>
      </c>
      <c r="Q497" s="88" t="s">
        <v>973</v>
      </c>
      <c r="R497" s="95" t="s">
        <v>1082</v>
      </c>
      <c r="S497" s="72">
        <f t="shared" si="32"/>
        <v>0</v>
      </c>
      <c r="T497" s="72">
        <f t="shared" si="29"/>
        <v>0</v>
      </c>
      <c r="U497" s="244">
        <v>1</v>
      </c>
      <c r="V497" s="188">
        <v>1</v>
      </c>
    </row>
    <row r="498" spans="1:22" s="46" customFormat="1" ht="18" customHeight="1" x14ac:dyDescent="0.25">
      <c r="A498" s="743"/>
      <c r="B498" s="756"/>
      <c r="C498" s="746"/>
      <c r="D498" s="750"/>
      <c r="E498" s="230"/>
      <c r="F498" s="230"/>
      <c r="G498" s="81"/>
      <c r="H498" s="230"/>
      <c r="I498" s="296" t="s">
        <v>164</v>
      </c>
      <c r="J498" s="295">
        <v>25</v>
      </c>
      <c r="K498" s="81"/>
      <c r="L498" s="230"/>
      <c r="M498" s="83" t="s">
        <v>486</v>
      </c>
      <c r="N498" s="80">
        <v>0</v>
      </c>
      <c r="O498" s="79">
        <v>1</v>
      </c>
      <c r="P498" s="80" t="s">
        <v>1083</v>
      </c>
      <c r="Q498" s="79" t="s">
        <v>567</v>
      </c>
      <c r="R498" s="550" t="s">
        <v>488</v>
      </c>
      <c r="S498" s="72">
        <f t="shared" si="32"/>
        <v>0</v>
      </c>
      <c r="T498" s="72">
        <f t="shared" si="29"/>
        <v>0</v>
      </c>
      <c r="U498" s="189">
        <v>1</v>
      </c>
      <c r="V498" s="297">
        <v>1</v>
      </c>
    </row>
    <row r="499" spans="1:22" s="46" customFormat="1" ht="18" customHeight="1" x14ac:dyDescent="0.25">
      <c r="A499" s="743"/>
      <c r="B499" s="756"/>
      <c r="C499" s="746"/>
      <c r="D499" s="750"/>
      <c r="E499" s="230"/>
      <c r="F499" s="230"/>
      <c r="G499" s="81"/>
      <c r="H499" s="230"/>
      <c r="I499" s="296" t="s">
        <v>197</v>
      </c>
      <c r="J499" s="295">
        <v>60</v>
      </c>
      <c r="K499" s="81"/>
      <c r="L499" s="230"/>
      <c r="M499" s="83" t="s">
        <v>486</v>
      </c>
      <c r="N499" s="80">
        <v>16</v>
      </c>
      <c r="O499" s="79">
        <v>1</v>
      </c>
      <c r="P499" s="80" t="s">
        <v>198</v>
      </c>
      <c r="Q499" s="81"/>
      <c r="R499" s="550" t="s">
        <v>488</v>
      </c>
      <c r="S499" s="72">
        <f t="shared" si="32"/>
        <v>5</v>
      </c>
      <c r="T499" s="72">
        <f t="shared" si="29"/>
        <v>2</v>
      </c>
      <c r="U499" s="72">
        <f t="shared" si="30"/>
        <v>0</v>
      </c>
      <c r="V499" s="86">
        <f t="shared" si="31"/>
        <v>0</v>
      </c>
    </row>
    <row r="500" spans="1:22" s="46" customFormat="1" ht="18" customHeight="1" x14ac:dyDescent="0.25">
      <c r="A500" s="743"/>
      <c r="B500" s="756"/>
      <c r="C500" s="746"/>
      <c r="D500" s="750"/>
      <c r="E500" s="230"/>
      <c r="F500" s="230"/>
      <c r="G500" s="81"/>
      <c r="H500" s="230"/>
      <c r="I500" s="296" t="s">
        <v>133</v>
      </c>
      <c r="J500" s="295">
        <v>180</v>
      </c>
      <c r="K500" s="81"/>
      <c r="L500" s="230"/>
      <c r="M500" s="83" t="s">
        <v>486</v>
      </c>
      <c r="N500" s="80">
        <v>150</v>
      </c>
      <c r="O500" s="79">
        <v>1</v>
      </c>
      <c r="P500" s="80" t="s">
        <v>198</v>
      </c>
      <c r="Q500" s="81"/>
      <c r="R500" s="550" t="s">
        <v>488</v>
      </c>
      <c r="S500" s="72">
        <f t="shared" si="32"/>
        <v>50</v>
      </c>
      <c r="T500" s="72">
        <f t="shared" si="29"/>
        <v>17</v>
      </c>
      <c r="U500" s="72">
        <f t="shared" si="30"/>
        <v>0</v>
      </c>
      <c r="V500" s="86">
        <f t="shared" si="31"/>
        <v>0</v>
      </c>
    </row>
    <row r="501" spans="1:22" s="46" customFormat="1" ht="18" customHeight="1" x14ac:dyDescent="0.25">
      <c r="A501" s="743"/>
      <c r="B501" s="756"/>
      <c r="C501" s="746"/>
      <c r="D501" s="750"/>
      <c r="E501" s="230"/>
      <c r="F501" s="230"/>
      <c r="G501" s="81"/>
      <c r="H501" s="230"/>
      <c r="I501" s="88" t="s">
        <v>1084</v>
      </c>
      <c r="J501" s="89">
        <v>10</v>
      </c>
      <c r="K501" s="90"/>
      <c r="L501" s="229"/>
      <c r="M501" s="92" t="s">
        <v>486</v>
      </c>
      <c r="N501" s="89">
        <v>0</v>
      </c>
      <c r="O501" s="88">
        <v>1</v>
      </c>
      <c r="P501" s="89" t="s">
        <v>198</v>
      </c>
      <c r="Q501" s="88" t="s">
        <v>1085</v>
      </c>
      <c r="R501" s="95" t="s">
        <v>865</v>
      </c>
      <c r="S501" s="72">
        <f t="shared" si="32"/>
        <v>0</v>
      </c>
      <c r="T501" s="72">
        <f t="shared" si="29"/>
        <v>0</v>
      </c>
      <c r="U501" s="244">
        <v>1</v>
      </c>
      <c r="V501" s="188">
        <v>1</v>
      </c>
    </row>
    <row r="502" spans="1:22" s="46" customFormat="1" ht="18" customHeight="1" x14ac:dyDescent="0.25">
      <c r="A502" s="743"/>
      <c r="B502" s="756"/>
      <c r="C502" s="746"/>
      <c r="D502" s="750"/>
      <c r="E502" s="230"/>
      <c r="F502" s="230"/>
      <c r="G502" s="81"/>
      <c r="H502" s="230"/>
      <c r="I502" s="296" t="s">
        <v>132</v>
      </c>
      <c r="J502" s="295">
        <v>160</v>
      </c>
      <c r="K502" s="81"/>
      <c r="L502" s="230"/>
      <c r="M502" s="83" t="s">
        <v>486</v>
      </c>
      <c r="N502" s="80">
        <v>101</v>
      </c>
      <c r="O502" s="79">
        <v>8</v>
      </c>
      <c r="P502" s="80" t="s">
        <v>198</v>
      </c>
      <c r="Q502" s="81"/>
      <c r="R502" s="550" t="s">
        <v>488</v>
      </c>
      <c r="S502" s="72">
        <f t="shared" si="32"/>
        <v>34</v>
      </c>
      <c r="T502" s="72">
        <f t="shared" si="29"/>
        <v>11</v>
      </c>
      <c r="U502" s="72">
        <f t="shared" si="30"/>
        <v>3</v>
      </c>
      <c r="V502" s="86">
        <f t="shared" si="31"/>
        <v>1</v>
      </c>
    </row>
    <row r="503" spans="1:22" s="46" customFormat="1" ht="18" customHeight="1" x14ac:dyDescent="0.25">
      <c r="A503" s="743"/>
      <c r="B503" s="756"/>
      <c r="C503" s="746"/>
      <c r="D503" s="750"/>
      <c r="E503" s="230"/>
      <c r="F503" s="230"/>
      <c r="G503" s="81"/>
      <c r="H503" s="230"/>
      <c r="I503" s="296" t="s">
        <v>187</v>
      </c>
      <c r="J503" s="295">
        <v>60</v>
      </c>
      <c r="K503" s="81"/>
      <c r="L503" s="230"/>
      <c r="M503" s="83" t="s">
        <v>486</v>
      </c>
      <c r="N503" s="80">
        <v>66</v>
      </c>
      <c r="O503" s="79">
        <v>1</v>
      </c>
      <c r="P503" s="80" t="s">
        <v>198</v>
      </c>
      <c r="Q503" s="81"/>
      <c r="R503" s="550" t="s">
        <v>488</v>
      </c>
      <c r="S503" s="72">
        <f t="shared" si="32"/>
        <v>22</v>
      </c>
      <c r="T503" s="72">
        <f t="shared" si="29"/>
        <v>7</v>
      </c>
      <c r="U503" s="72">
        <f t="shared" si="30"/>
        <v>0</v>
      </c>
      <c r="V503" s="86">
        <f t="shared" si="31"/>
        <v>0</v>
      </c>
    </row>
    <row r="504" spans="1:22" s="46" customFormat="1" ht="18" customHeight="1" x14ac:dyDescent="0.25">
      <c r="A504" s="743"/>
      <c r="B504" s="756"/>
      <c r="C504" s="746"/>
      <c r="D504" s="750"/>
      <c r="E504" s="230"/>
      <c r="F504" s="230"/>
      <c r="G504" s="81"/>
      <c r="H504" s="230"/>
      <c r="I504" s="296" t="s">
        <v>162</v>
      </c>
      <c r="J504" s="295">
        <v>60</v>
      </c>
      <c r="K504" s="81"/>
      <c r="L504" s="230"/>
      <c r="M504" s="83" t="s">
        <v>486</v>
      </c>
      <c r="N504" s="80">
        <v>5</v>
      </c>
      <c r="O504" s="79">
        <v>0</v>
      </c>
      <c r="P504" s="80" t="s">
        <v>198</v>
      </c>
      <c r="Q504" s="81"/>
      <c r="R504" s="550" t="s">
        <v>488</v>
      </c>
      <c r="S504" s="72">
        <f t="shared" si="32"/>
        <v>2</v>
      </c>
      <c r="T504" s="72">
        <f t="shared" si="29"/>
        <v>1</v>
      </c>
      <c r="U504" s="72">
        <f t="shared" si="30"/>
        <v>0</v>
      </c>
      <c r="V504" s="86">
        <f t="shared" si="31"/>
        <v>0</v>
      </c>
    </row>
    <row r="505" spans="1:22" s="46" customFormat="1" ht="18" customHeight="1" thickBot="1" x14ac:dyDescent="0.3">
      <c r="A505" s="743"/>
      <c r="B505" s="756"/>
      <c r="C505" s="773"/>
      <c r="D505" s="754"/>
      <c r="E505" s="238"/>
      <c r="F505" s="238"/>
      <c r="G505" s="181"/>
      <c r="H505" s="238"/>
      <c r="I505" s="568" t="s">
        <v>139</v>
      </c>
      <c r="J505" s="180">
        <v>100</v>
      </c>
      <c r="K505" s="181"/>
      <c r="L505" s="238"/>
      <c r="M505" s="183" t="s">
        <v>486</v>
      </c>
      <c r="N505" s="180">
        <v>62</v>
      </c>
      <c r="O505" s="179">
        <v>2</v>
      </c>
      <c r="P505" s="180" t="s">
        <v>1086</v>
      </c>
      <c r="Q505" s="273"/>
      <c r="R505" s="570" t="s">
        <v>488</v>
      </c>
      <c r="S505" s="72">
        <f t="shared" si="32"/>
        <v>21</v>
      </c>
      <c r="T505" s="72">
        <f t="shared" si="29"/>
        <v>7</v>
      </c>
      <c r="U505" s="72">
        <f t="shared" si="30"/>
        <v>1</v>
      </c>
      <c r="V505" s="86">
        <f t="shared" si="31"/>
        <v>0</v>
      </c>
    </row>
    <row r="506" spans="1:22" s="46" customFormat="1" ht="18" customHeight="1" thickBot="1" x14ac:dyDescent="0.3">
      <c r="A506" s="743"/>
      <c r="B506" s="756"/>
      <c r="C506" s="356" t="s">
        <v>1087</v>
      </c>
      <c r="D506" s="335"/>
      <c r="E506" s="403"/>
      <c r="F506" s="492"/>
      <c r="G506" s="241"/>
      <c r="H506" s="492"/>
      <c r="I506" s="225" t="s">
        <v>1088</v>
      </c>
      <c r="J506" s="362">
        <v>1000</v>
      </c>
      <c r="K506" s="225">
        <v>1000</v>
      </c>
      <c r="L506" s="359"/>
      <c r="M506" s="105" t="s">
        <v>486</v>
      </c>
      <c r="N506" s="362">
        <v>0</v>
      </c>
      <c r="O506" s="225">
        <v>2</v>
      </c>
      <c r="P506" s="362" t="s">
        <v>1079</v>
      </c>
      <c r="Q506" s="225" t="s">
        <v>1089</v>
      </c>
      <c r="R506" s="363" t="s">
        <v>529</v>
      </c>
      <c r="S506" s="72">
        <f t="shared" si="32"/>
        <v>0</v>
      </c>
      <c r="T506" s="72">
        <f t="shared" si="29"/>
        <v>0</v>
      </c>
      <c r="U506" s="244">
        <v>2</v>
      </c>
      <c r="V506" s="188">
        <v>2</v>
      </c>
    </row>
    <row r="507" spans="1:22" s="46" customFormat="1" ht="18" customHeight="1" x14ac:dyDescent="0.25">
      <c r="A507" s="743"/>
      <c r="B507" s="756"/>
      <c r="C507" s="739" t="s">
        <v>1090</v>
      </c>
      <c r="D507" s="605"/>
      <c r="E507" s="606"/>
      <c r="F507" s="243"/>
      <c r="G507" s="178"/>
      <c r="H507" s="243"/>
      <c r="I507" s="287" t="s">
        <v>171</v>
      </c>
      <c r="J507" s="288">
        <v>160</v>
      </c>
      <c r="K507" s="178"/>
      <c r="L507" s="243"/>
      <c r="M507" s="70" t="s">
        <v>486</v>
      </c>
      <c r="N507" s="68">
        <v>160</v>
      </c>
      <c r="O507" s="67">
        <v>0</v>
      </c>
      <c r="P507" s="68" t="s">
        <v>1079</v>
      </c>
      <c r="Q507" s="199"/>
      <c r="R507" s="289" t="s">
        <v>488</v>
      </c>
      <c r="S507" s="72">
        <f t="shared" si="32"/>
        <v>53</v>
      </c>
      <c r="T507" s="72">
        <f t="shared" si="29"/>
        <v>18</v>
      </c>
      <c r="U507" s="72">
        <f t="shared" si="30"/>
        <v>0</v>
      </c>
      <c r="V507" s="86">
        <f t="shared" si="31"/>
        <v>0</v>
      </c>
    </row>
    <row r="508" spans="1:22" s="46" customFormat="1" ht="18" customHeight="1" x14ac:dyDescent="0.25">
      <c r="A508" s="743"/>
      <c r="B508" s="756"/>
      <c r="C508" s="740"/>
      <c r="D508" s="607"/>
      <c r="E508" s="608"/>
      <c r="F508" s="230"/>
      <c r="G508" s="81"/>
      <c r="H508" s="230"/>
      <c r="I508" s="296" t="s">
        <v>126</v>
      </c>
      <c r="J508" s="295">
        <v>250</v>
      </c>
      <c r="K508" s="81"/>
      <c r="L508" s="230"/>
      <c r="M508" s="83" t="s">
        <v>486</v>
      </c>
      <c r="N508" s="80">
        <v>160</v>
      </c>
      <c r="O508" s="79">
        <v>8</v>
      </c>
      <c r="P508" s="80" t="s">
        <v>1079</v>
      </c>
      <c r="Q508" s="81"/>
      <c r="R508" s="550" t="s">
        <v>488</v>
      </c>
      <c r="S508" s="72">
        <f t="shared" si="32"/>
        <v>53</v>
      </c>
      <c r="T508" s="72">
        <f t="shared" si="29"/>
        <v>18</v>
      </c>
      <c r="U508" s="72">
        <f t="shared" si="30"/>
        <v>3</v>
      </c>
      <c r="V508" s="86">
        <f t="shared" si="31"/>
        <v>1</v>
      </c>
    </row>
    <row r="509" spans="1:22" s="46" customFormat="1" ht="18" customHeight="1" x14ac:dyDescent="0.25">
      <c r="A509" s="743"/>
      <c r="B509" s="756"/>
      <c r="C509" s="740"/>
      <c r="D509" s="607"/>
      <c r="E509" s="608"/>
      <c r="F509" s="230"/>
      <c r="G509" s="81"/>
      <c r="H509" s="230"/>
      <c r="I509" s="296" t="s">
        <v>134</v>
      </c>
      <c r="J509" s="295">
        <v>160</v>
      </c>
      <c r="K509" s="81"/>
      <c r="L509" s="230"/>
      <c r="M509" s="83" t="s">
        <v>486</v>
      </c>
      <c r="N509" s="80">
        <v>203</v>
      </c>
      <c r="O509" s="79">
        <v>7</v>
      </c>
      <c r="P509" s="80" t="s">
        <v>1083</v>
      </c>
      <c r="Q509" s="81"/>
      <c r="R509" s="550" t="s">
        <v>488</v>
      </c>
      <c r="S509" s="72">
        <f t="shared" si="32"/>
        <v>68</v>
      </c>
      <c r="T509" s="72">
        <f t="shared" si="29"/>
        <v>23</v>
      </c>
      <c r="U509" s="72">
        <f t="shared" si="30"/>
        <v>2</v>
      </c>
      <c r="V509" s="86">
        <f t="shared" si="31"/>
        <v>1</v>
      </c>
    </row>
    <row r="510" spans="1:22" s="46" customFormat="1" ht="18" customHeight="1" x14ac:dyDescent="0.25">
      <c r="A510" s="743"/>
      <c r="B510" s="756"/>
      <c r="C510" s="740"/>
      <c r="D510" s="607"/>
      <c r="E510" s="608"/>
      <c r="F510" s="230"/>
      <c r="G510" s="81"/>
      <c r="H510" s="230"/>
      <c r="I510" s="88" t="s">
        <v>1091</v>
      </c>
      <c r="J510" s="89">
        <v>25</v>
      </c>
      <c r="K510" s="90"/>
      <c r="L510" s="229"/>
      <c r="M510" s="92" t="s">
        <v>486</v>
      </c>
      <c r="N510" s="89">
        <v>0</v>
      </c>
      <c r="O510" s="88">
        <v>1</v>
      </c>
      <c r="P510" s="89" t="s">
        <v>1079</v>
      </c>
      <c r="Q510" s="88" t="s">
        <v>1092</v>
      </c>
      <c r="R510" s="95" t="s">
        <v>1093</v>
      </c>
      <c r="S510" s="72">
        <f t="shared" si="32"/>
        <v>0</v>
      </c>
      <c r="T510" s="72">
        <f t="shared" si="29"/>
        <v>0</v>
      </c>
      <c r="U510" s="244">
        <v>1</v>
      </c>
      <c r="V510" s="188">
        <v>1</v>
      </c>
    </row>
    <row r="511" spans="1:22" s="46" customFormat="1" ht="18" customHeight="1" x14ac:dyDescent="0.25">
      <c r="A511" s="743"/>
      <c r="B511" s="756"/>
      <c r="C511" s="740"/>
      <c r="D511" s="607"/>
      <c r="E511" s="608"/>
      <c r="F511" s="230"/>
      <c r="G511" s="81"/>
      <c r="H511" s="230"/>
      <c r="I511" s="296" t="s">
        <v>138</v>
      </c>
      <c r="J511" s="295">
        <v>100</v>
      </c>
      <c r="K511" s="81"/>
      <c r="L511" s="230"/>
      <c r="M511" s="83" t="s">
        <v>486</v>
      </c>
      <c r="N511" s="80">
        <v>2</v>
      </c>
      <c r="O511" s="79">
        <v>1</v>
      </c>
      <c r="P511" s="80" t="s">
        <v>1079</v>
      </c>
      <c r="Q511" s="79" t="s">
        <v>1094</v>
      </c>
      <c r="R511" s="550" t="s">
        <v>488</v>
      </c>
      <c r="S511" s="72">
        <f t="shared" si="32"/>
        <v>1</v>
      </c>
      <c r="T511" s="72">
        <f t="shared" si="29"/>
        <v>0</v>
      </c>
      <c r="U511" s="72">
        <f t="shared" si="30"/>
        <v>0</v>
      </c>
      <c r="V511" s="86">
        <f t="shared" si="31"/>
        <v>0</v>
      </c>
    </row>
    <row r="512" spans="1:22" s="46" customFormat="1" ht="18" customHeight="1" x14ac:dyDescent="0.25">
      <c r="A512" s="743"/>
      <c r="B512" s="756"/>
      <c r="C512" s="740"/>
      <c r="D512" s="607"/>
      <c r="E512" s="608"/>
      <c r="F512" s="230"/>
      <c r="G512" s="81"/>
      <c r="H512" s="230"/>
      <c r="I512" s="296" t="s">
        <v>1095</v>
      </c>
      <c r="J512" s="295">
        <v>1600</v>
      </c>
      <c r="K512" s="81"/>
      <c r="L512" s="230"/>
      <c r="M512" s="83" t="s">
        <v>486</v>
      </c>
      <c r="N512" s="80">
        <v>0</v>
      </c>
      <c r="O512" s="79">
        <v>1</v>
      </c>
      <c r="P512" s="80" t="s">
        <v>1079</v>
      </c>
      <c r="Q512" s="79" t="s">
        <v>1096</v>
      </c>
      <c r="R512" s="550" t="s">
        <v>488</v>
      </c>
      <c r="S512" s="72">
        <f t="shared" si="32"/>
        <v>0</v>
      </c>
      <c r="T512" s="72">
        <f t="shared" si="29"/>
        <v>0</v>
      </c>
      <c r="U512" s="189">
        <v>1</v>
      </c>
      <c r="V512" s="297">
        <v>1</v>
      </c>
    </row>
    <row r="513" spans="1:22" s="46" customFormat="1" ht="18" customHeight="1" x14ac:dyDescent="0.25">
      <c r="A513" s="743"/>
      <c r="B513" s="756"/>
      <c r="C513" s="740"/>
      <c r="D513" s="607"/>
      <c r="E513" s="608"/>
      <c r="F513" s="230"/>
      <c r="G513" s="81"/>
      <c r="H513" s="230"/>
      <c r="I513" s="296" t="s">
        <v>184</v>
      </c>
      <c r="J513" s="295">
        <v>40</v>
      </c>
      <c r="K513" s="81"/>
      <c r="L513" s="230"/>
      <c r="M513" s="83" t="s">
        <v>486</v>
      </c>
      <c r="N513" s="80">
        <v>0</v>
      </c>
      <c r="O513" s="79">
        <v>1</v>
      </c>
      <c r="P513" s="80" t="s">
        <v>1079</v>
      </c>
      <c r="Q513" s="79" t="s">
        <v>1096</v>
      </c>
      <c r="R513" s="550" t="s">
        <v>488</v>
      </c>
      <c r="S513" s="72">
        <f t="shared" si="32"/>
        <v>0</v>
      </c>
      <c r="T513" s="72">
        <f t="shared" si="29"/>
        <v>0</v>
      </c>
      <c r="U513" s="189">
        <v>1</v>
      </c>
      <c r="V513" s="297">
        <v>1</v>
      </c>
    </row>
    <row r="514" spans="1:22" s="46" customFormat="1" ht="18" customHeight="1" x14ac:dyDescent="0.25">
      <c r="A514" s="743"/>
      <c r="B514" s="756"/>
      <c r="C514" s="740"/>
      <c r="D514" s="607"/>
      <c r="E514" s="608"/>
      <c r="F514" s="230"/>
      <c r="G514" s="81"/>
      <c r="H514" s="230"/>
      <c r="I514" s="296" t="s">
        <v>179</v>
      </c>
      <c r="J514" s="295">
        <v>63</v>
      </c>
      <c r="K514" s="81"/>
      <c r="L514" s="230"/>
      <c r="M514" s="83" t="s">
        <v>486</v>
      </c>
      <c r="N514" s="80">
        <v>0</v>
      </c>
      <c r="O514" s="79">
        <v>1</v>
      </c>
      <c r="P514" s="80" t="s">
        <v>1079</v>
      </c>
      <c r="Q514" s="79" t="s">
        <v>1097</v>
      </c>
      <c r="R514" s="550" t="s">
        <v>488</v>
      </c>
      <c r="S514" s="72">
        <f t="shared" si="32"/>
        <v>0</v>
      </c>
      <c r="T514" s="72">
        <f t="shared" si="29"/>
        <v>0</v>
      </c>
      <c r="U514" s="189">
        <v>1</v>
      </c>
      <c r="V514" s="297">
        <v>1</v>
      </c>
    </row>
    <row r="515" spans="1:22" s="46" customFormat="1" ht="18" customHeight="1" thickBot="1" x14ac:dyDescent="0.3">
      <c r="A515" s="743"/>
      <c r="B515" s="756"/>
      <c r="C515" s="740"/>
      <c r="D515" s="607"/>
      <c r="E515" s="609"/>
      <c r="F515" s="234"/>
      <c r="G515" s="210"/>
      <c r="H515" s="234"/>
      <c r="I515" s="565" t="s">
        <v>180</v>
      </c>
      <c r="J515" s="566">
        <v>1000</v>
      </c>
      <c r="K515" s="210"/>
      <c r="L515" s="234"/>
      <c r="M515" s="212" t="s">
        <v>486</v>
      </c>
      <c r="N515" s="209">
        <v>0</v>
      </c>
      <c r="O515" s="208">
        <v>1</v>
      </c>
      <c r="P515" s="209" t="s">
        <v>1079</v>
      </c>
      <c r="Q515" s="208" t="s">
        <v>1097</v>
      </c>
      <c r="R515" s="567" t="s">
        <v>488</v>
      </c>
      <c r="S515" s="72">
        <f t="shared" si="32"/>
        <v>0</v>
      </c>
      <c r="T515" s="72">
        <f t="shared" si="29"/>
        <v>0</v>
      </c>
      <c r="U515" s="189">
        <v>1</v>
      </c>
      <c r="V515" s="297">
        <v>1</v>
      </c>
    </row>
    <row r="516" spans="1:22" s="46" customFormat="1" ht="18" customHeight="1" x14ac:dyDescent="0.25">
      <c r="A516" s="743"/>
      <c r="B516" s="756"/>
      <c r="C516" s="740"/>
      <c r="D516" s="793" t="s">
        <v>1098</v>
      </c>
      <c r="E516" s="606"/>
      <c r="F516" s="243"/>
      <c r="G516" s="178"/>
      <c r="H516" s="243"/>
      <c r="I516" s="287" t="s">
        <v>177</v>
      </c>
      <c r="J516" s="288">
        <v>160</v>
      </c>
      <c r="K516" s="178"/>
      <c r="L516" s="243"/>
      <c r="M516" s="70" t="s">
        <v>486</v>
      </c>
      <c r="N516" s="68">
        <v>0</v>
      </c>
      <c r="O516" s="67">
        <v>1</v>
      </c>
      <c r="P516" s="68" t="s">
        <v>1099</v>
      </c>
      <c r="Q516" s="178"/>
      <c r="R516" s="289" t="s">
        <v>488</v>
      </c>
      <c r="S516" s="72">
        <f t="shared" si="32"/>
        <v>0</v>
      </c>
      <c r="T516" s="72">
        <f t="shared" si="29"/>
        <v>0</v>
      </c>
      <c r="U516" s="189">
        <v>1</v>
      </c>
      <c r="V516" s="297">
        <v>1</v>
      </c>
    </row>
    <row r="517" spans="1:22" s="46" customFormat="1" ht="18" customHeight="1" thickBot="1" x14ac:dyDescent="0.3">
      <c r="A517" s="743"/>
      <c r="B517" s="756"/>
      <c r="C517" s="740"/>
      <c r="D517" s="794"/>
      <c r="E517" s="610"/>
      <c r="F517" s="238"/>
      <c r="G517" s="181"/>
      <c r="H517" s="238"/>
      <c r="I517" s="568" t="s">
        <v>176</v>
      </c>
      <c r="J517" s="569">
        <v>250</v>
      </c>
      <c r="K517" s="181"/>
      <c r="L517" s="238"/>
      <c r="M517" s="215" t="s">
        <v>486</v>
      </c>
      <c r="N517" s="180">
        <v>0</v>
      </c>
      <c r="O517" s="179">
        <v>5</v>
      </c>
      <c r="P517" s="180" t="s">
        <v>1099</v>
      </c>
      <c r="Q517" s="179" t="s">
        <v>704</v>
      </c>
      <c r="R517" s="570" t="s">
        <v>488</v>
      </c>
      <c r="S517" s="72">
        <f t="shared" si="32"/>
        <v>0</v>
      </c>
      <c r="T517" s="72">
        <f t="shared" si="29"/>
        <v>0</v>
      </c>
      <c r="U517" s="189">
        <v>5</v>
      </c>
      <c r="V517" s="297">
        <v>5</v>
      </c>
    </row>
    <row r="518" spans="1:22" s="46" customFormat="1" ht="18" customHeight="1" x14ac:dyDescent="0.25">
      <c r="A518" s="743"/>
      <c r="B518" s="756"/>
      <c r="C518" s="740"/>
      <c r="D518" s="739" t="s">
        <v>1100</v>
      </c>
      <c r="E518" s="606"/>
      <c r="F518" s="243"/>
      <c r="G518" s="178"/>
      <c r="H518" s="243"/>
      <c r="I518" s="262" t="s">
        <v>1101</v>
      </c>
      <c r="J518" s="263">
        <v>250</v>
      </c>
      <c r="K518" s="611">
        <v>250</v>
      </c>
      <c r="L518" s="265"/>
      <c r="M518" s="266" t="s">
        <v>486</v>
      </c>
      <c r="N518" s="263">
        <v>113</v>
      </c>
      <c r="O518" s="262">
        <v>6</v>
      </c>
      <c r="P518" s="263" t="s">
        <v>1099</v>
      </c>
      <c r="Q518" s="262" t="s">
        <v>707</v>
      </c>
      <c r="R518" s="269" t="s">
        <v>1102</v>
      </c>
      <c r="S518" s="72">
        <f t="shared" si="32"/>
        <v>38</v>
      </c>
      <c r="T518" s="72">
        <f t="shared" si="29"/>
        <v>13</v>
      </c>
      <c r="U518" s="72">
        <f t="shared" si="30"/>
        <v>2</v>
      </c>
      <c r="V518" s="86">
        <f t="shared" si="31"/>
        <v>1</v>
      </c>
    </row>
    <row r="519" spans="1:22" s="46" customFormat="1" ht="18" customHeight="1" x14ac:dyDescent="0.25">
      <c r="A519" s="743"/>
      <c r="B519" s="756"/>
      <c r="C519" s="740"/>
      <c r="D519" s="740"/>
      <c r="E519" s="608"/>
      <c r="F519" s="230"/>
      <c r="G519" s="81"/>
      <c r="H519" s="230"/>
      <c r="I519" s="296" t="s">
        <v>130</v>
      </c>
      <c r="J519" s="295">
        <v>100</v>
      </c>
      <c r="K519" s="81"/>
      <c r="L519" s="230"/>
      <c r="M519" s="83" t="s">
        <v>486</v>
      </c>
      <c r="N519" s="80">
        <v>157</v>
      </c>
      <c r="O519" s="79">
        <v>12</v>
      </c>
      <c r="P519" s="80" t="s">
        <v>1099</v>
      </c>
      <c r="Q519" s="81"/>
      <c r="R519" s="550" t="s">
        <v>488</v>
      </c>
      <c r="S519" s="72">
        <f t="shared" si="32"/>
        <v>52</v>
      </c>
      <c r="T519" s="72">
        <f t="shared" si="29"/>
        <v>17</v>
      </c>
      <c r="U519" s="72">
        <f t="shared" si="30"/>
        <v>4</v>
      </c>
      <c r="V519" s="86">
        <f t="shared" si="31"/>
        <v>1</v>
      </c>
    </row>
    <row r="520" spans="1:22" s="46" customFormat="1" ht="18" customHeight="1" x14ac:dyDescent="0.25">
      <c r="A520" s="743"/>
      <c r="B520" s="756"/>
      <c r="C520" s="740"/>
      <c r="D520" s="740"/>
      <c r="E520" s="608"/>
      <c r="F520" s="230"/>
      <c r="G520" s="81"/>
      <c r="H520" s="230"/>
      <c r="I520" s="296" t="s">
        <v>128</v>
      </c>
      <c r="J520" s="295">
        <v>160</v>
      </c>
      <c r="K520" s="81"/>
      <c r="L520" s="230"/>
      <c r="M520" s="83" t="s">
        <v>486</v>
      </c>
      <c r="N520" s="80">
        <v>89</v>
      </c>
      <c r="O520" s="79">
        <v>7</v>
      </c>
      <c r="P520" s="80" t="s">
        <v>1099</v>
      </c>
      <c r="Q520" s="79" t="s">
        <v>561</v>
      </c>
      <c r="R520" s="550" t="s">
        <v>488</v>
      </c>
      <c r="S520" s="72">
        <f t="shared" si="32"/>
        <v>30</v>
      </c>
      <c r="T520" s="72">
        <f t="shared" si="29"/>
        <v>10</v>
      </c>
      <c r="U520" s="72">
        <f t="shared" si="30"/>
        <v>2</v>
      </c>
      <c r="V520" s="86">
        <f t="shared" si="31"/>
        <v>1</v>
      </c>
    </row>
    <row r="521" spans="1:22" s="46" customFormat="1" ht="18" customHeight="1" x14ac:dyDescent="0.25">
      <c r="A521" s="743"/>
      <c r="B521" s="756"/>
      <c r="C521" s="740"/>
      <c r="D521" s="740"/>
      <c r="E521" s="608"/>
      <c r="F521" s="230"/>
      <c r="G521" s="81"/>
      <c r="H521" s="230"/>
      <c r="I521" s="296" t="s">
        <v>178</v>
      </c>
      <c r="J521" s="295">
        <v>100</v>
      </c>
      <c r="K521" s="81"/>
      <c r="L521" s="230"/>
      <c r="M521" s="83" t="s">
        <v>486</v>
      </c>
      <c r="N521" s="80">
        <v>163</v>
      </c>
      <c r="O521" s="79">
        <v>5</v>
      </c>
      <c r="P521" s="80" t="s">
        <v>1099</v>
      </c>
      <c r="Q521" s="81"/>
      <c r="R521" s="550" t="s">
        <v>488</v>
      </c>
      <c r="S521" s="72">
        <f t="shared" si="32"/>
        <v>54</v>
      </c>
      <c r="T521" s="72">
        <f t="shared" si="29"/>
        <v>18</v>
      </c>
      <c r="U521" s="72">
        <f t="shared" si="30"/>
        <v>2</v>
      </c>
      <c r="V521" s="86">
        <f t="shared" si="31"/>
        <v>1</v>
      </c>
    </row>
    <row r="522" spans="1:22" s="46" customFormat="1" ht="18" customHeight="1" x14ac:dyDescent="0.25">
      <c r="A522" s="743"/>
      <c r="B522" s="756"/>
      <c r="C522" s="740"/>
      <c r="D522" s="740"/>
      <c r="E522" s="608"/>
      <c r="F522" s="230"/>
      <c r="G522" s="81"/>
      <c r="H522" s="230"/>
      <c r="I522" s="296" t="s">
        <v>201</v>
      </c>
      <c r="J522" s="295">
        <v>400</v>
      </c>
      <c r="K522" s="81"/>
      <c r="L522" s="230"/>
      <c r="M522" s="83" t="s">
        <v>486</v>
      </c>
      <c r="N522" s="80">
        <v>233</v>
      </c>
      <c r="O522" s="79">
        <v>3</v>
      </c>
      <c r="P522" s="80" t="s">
        <v>1099</v>
      </c>
      <c r="Q522" s="81"/>
      <c r="R522" s="550" t="s">
        <v>488</v>
      </c>
      <c r="S522" s="72">
        <f t="shared" si="32"/>
        <v>78</v>
      </c>
      <c r="T522" s="72">
        <f t="shared" ref="T522:T585" si="33">ROUND(S522/3,0)</f>
        <v>26</v>
      </c>
      <c r="U522" s="72">
        <f t="shared" si="30"/>
        <v>1</v>
      </c>
      <c r="V522" s="86">
        <f t="shared" si="31"/>
        <v>0</v>
      </c>
    </row>
    <row r="523" spans="1:22" s="46" customFormat="1" ht="18" customHeight="1" x14ac:dyDescent="0.25">
      <c r="A523" s="743"/>
      <c r="B523" s="756"/>
      <c r="C523" s="740"/>
      <c r="D523" s="740"/>
      <c r="E523" s="608"/>
      <c r="F523" s="230"/>
      <c r="G523" s="81"/>
      <c r="H523" s="230"/>
      <c r="I523" s="296" t="s">
        <v>129</v>
      </c>
      <c r="J523" s="295">
        <v>100</v>
      </c>
      <c r="K523" s="81"/>
      <c r="L523" s="230"/>
      <c r="M523" s="83" t="s">
        <v>486</v>
      </c>
      <c r="N523" s="80">
        <v>170</v>
      </c>
      <c r="O523" s="79">
        <v>3</v>
      </c>
      <c r="P523" s="80" t="s">
        <v>1099</v>
      </c>
      <c r="Q523" s="81"/>
      <c r="R523" s="550" t="s">
        <v>488</v>
      </c>
      <c r="S523" s="72">
        <f t="shared" si="32"/>
        <v>57</v>
      </c>
      <c r="T523" s="72">
        <f t="shared" si="33"/>
        <v>19</v>
      </c>
      <c r="U523" s="72">
        <f t="shared" si="30"/>
        <v>1</v>
      </c>
      <c r="V523" s="86">
        <f t="shared" si="31"/>
        <v>0</v>
      </c>
    </row>
    <row r="524" spans="1:22" s="46" customFormat="1" ht="18" customHeight="1" x14ac:dyDescent="0.25">
      <c r="A524" s="743"/>
      <c r="B524" s="756"/>
      <c r="C524" s="740"/>
      <c r="D524" s="740"/>
      <c r="E524" s="608"/>
      <c r="F524" s="230"/>
      <c r="G524" s="81"/>
      <c r="H524" s="230"/>
      <c r="I524" s="88" t="s">
        <v>1103</v>
      </c>
      <c r="J524" s="89">
        <v>16</v>
      </c>
      <c r="K524" s="90"/>
      <c r="L524" s="229"/>
      <c r="M524" s="92" t="s">
        <v>486</v>
      </c>
      <c r="N524" s="89">
        <v>0</v>
      </c>
      <c r="O524" s="88">
        <v>1</v>
      </c>
      <c r="P524" s="89" t="s">
        <v>1099</v>
      </c>
      <c r="Q524" s="88" t="s">
        <v>973</v>
      </c>
      <c r="R524" s="95" t="s">
        <v>1082</v>
      </c>
      <c r="S524" s="72">
        <f t="shared" si="32"/>
        <v>0</v>
      </c>
      <c r="T524" s="72">
        <f t="shared" si="33"/>
        <v>0</v>
      </c>
      <c r="U524" s="244">
        <v>1</v>
      </c>
      <c r="V524" s="188">
        <v>1</v>
      </c>
    </row>
    <row r="525" spans="1:22" s="46" customFormat="1" ht="18" customHeight="1" x14ac:dyDescent="0.25">
      <c r="A525" s="743"/>
      <c r="B525" s="756"/>
      <c r="C525" s="740"/>
      <c r="D525" s="740"/>
      <c r="E525" s="608"/>
      <c r="F525" s="230"/>
      <c r="G525" s="81"/>
      <c r="H525" s="230"/>
      <c r="I525" s="88" t="s">
        <v>1104</v>
      </c>
      <c r="J525" s="89">
        <v>10</v>
      </c>
      <c r="K525" s="90"/>
      <c r="L525" s="229"/>
      <c r="M525" s="92" t="s">
        <v>486</v>
      </c>
      <c r="N525" s="89">
        <v>0</v>
      </c>
      <c r="O525" s="88">
        <v>1</v>
      </c>
      <c r="P525" s="89" t="s">
        <v>1099</v>
      </c>
      <c r="Q525" s="88" t="s">
        <v>1105</v>
      </c>
      <c r="R525" s="95" t="s">
        <v>1106</v>
      </c>
      <c r="S525" s="72">
        <f t="shared" si="32"/>
        <v>0</v>
      </c>
      <c r="T525" s="72">
        <f t="shared" si="33"/>
        <v>0</v>
      </c>
      <c r="U525" s="244">
        <v>1</v>
      </c>
      <c r="V525" s="188">
        <v>1</v>
      </c>
    </row>
    <row r="526" spans="1:22" s="46" customFormat="1" ht="18" customHeight="1" x14ac:dyDescent="0.25">
      <c r="A526" s="743"/>
      <c r="B526" s="756"/>
      <c r="C526" s="740"/>
      <c r="D526" s="740"/>
      <c r="E526" s="608"/>
      <c r="F526" s="230"/>
      <c r="G526" s="81"/>
      <c r="H526" s="230"/>
      <c r="I526" s="296" t="s">
        <v>202</v>
      </c>
      <c r="J526" s="295">
        <v>25</v>
      </c>
      <c r="K526" s="81"/>
      <c r="L526" s="230"/>
      <c r="M526" s="83" t="s">
        <v>486</v>
      </c>
      <c r="N526" s="80">
        <v>0</v>
      </c>
      <c r="O526" s="79">
        <v>1</v>
      </c>
      <c r="P526" s="80" t="s">
        <v>1099</v>
      </c>
      <c r="Q526" s="79" t="s">
        <v>688</v>
      </c>
      <c r="R526" s="550" t="s">
        <v>488</v>
      </c>
      <c r="S526" s="72">
        <f t="shared" si="32"/>
        <v>0</v>
      </c>
      <c r="T526" s="72">
        <f t="shared" si="33"/>
        <v>0</v>
      </c>
      <c r="U526" s="189">
        <v>1</v>
      </c>
      <c r="V526" s="297">
        <v>1</v>
      </c>
    </row>
    <row r="527" spans="1:22" s="46" customFormat="1" ht="18" customHeight="1" x14ac:dyDescent="0.25">
      <c r="A527" s="743"/>
      <c r="B527" s="756"/>
      <c r="C527" s="740"/>
      <c r="D527" s="740"/>
      <c r="E527" s="608"/>
      <c r="F527" s="230"/>
      <c r="G527" s="81"/>
      <c r="H527" s="230"/>
      <c r="I527" s="296" t="s">
        <v>186</v>
      </c>
      <c r="J527" s="295">
        <v>100</v>
      </c>
      <c r="K527" s="81"/>
      <c r="L527" s="230"/>
      <c r="M527" s="83" t="s">
        <v>486</v>
      </c>
      <c r="N527" s="80">
        <v>31</v>
      </c>
      <c r="O527" s="79">
        <v>0</v>
      </c>
      <c r="P527" s="80" t="s">
        <v>1099</v>
      </c>
      <c r="Q527" s="79" t="s">
        <v>715</v>
      </c>
      <c r="R527" s="550" t="s">
        <v>488</v>
      </c>
      <c r="S527" s="72">
        <f t="shared" si="32"/>
        <v>10</v>
      </c>
      <c r="T527" s="72">
        <f t="shared" si="33"/>
        <v>3</v>
      </c>
      <c r="U527" s="72">
        <f t="shared" si="30"/>
        <v>0</v>
      </c>
      <c r="V527" s="86">
        <f t="shared" si="31"/>
        <v>0</v>
      </c>
    </row>
    <row r="528" spans="1:22" s="46" customFormat="1" ht="18" customHeight="1" x14ac:dyDescent="0.25">
      <c r="A528" s="743"/>
      <c r="B528" s="756"/>
      <c r="C528" s="740"/>
      <c r="D528" s="740"/>
      <c r="E528" s="608"/>
      <c r="F528" s="230"/>
      <c r="G528" s="81"/>
      <c r="H528" s="230"/>
      <c r="I528" s="88" t="s">
        <v>1107</v>
      </c>
      <c r="J528" s="89">
        <v>25</v>
      </c>
      <c r="K528" s="90"/>
      <c r="L528" s="229"/>
      <c r="M528" s="92" t="s">
        <v>486</v>
      </c>
      <c r="N528" s="89">
        <v>0</v>
      </c>
      <c r="O528" s="88">
        <v>1</v>
      </c>
      <c r="P528" s="89" t="s">
        <v>1099</v>
      </c>
      <c r="Q528" s="88" t="s">
        <v>1071</v>
      </c>
      <c r="R528" s="95" t="s">
        <v>1108</v>
      </c>
      <c r="S528" s="72">
        <f t="shared" si="32"/>
        <v>0</v>
      </c>
      <c r="T528" s="72">
        <f t="shared" si="33"/>
        <v>0</v>
      </c>
      <c r="U528" s="244">
        <v>1</v>
      </c>
      <c r="V528" s="188">
        <v>1</v>
      </c>
    </row>
    <row r="529" spans="1:22" s="46" customFormat="1" ht="18" customHeight="1" x14ac:dyDescent="0.25">
      <c r="A529" s="743"/>
      <c r="B529" s="756"/>
      <c r="C529" s="740"/>
      <c r="D529" s="740"/>
      <c r="E529" s="608"/>
      <c r="F529" s="230"/>
      <c r="G529" s="81"/>
      <c r="H529" s="230"/>
      <c r="I529" s="162" t="s">
        <v>1109</v>
      </c>
      <c r="J529" s="163">
        <v>25</v>
      </c>
      <c r="K529" s="612"/>
      <c r="L529" s="613"/>
      <c r="M529" s="614" t="s">
        <v>486</v>
      </c>
      <c r="N529" s="163">
        <v>0</v>
      </c>
      <c r="O529" s="615">
        <v>1</v>
      </c>
      <c r="P529" s="163" t="s">
        <v>1099</v>
      </c>
      <c r="Q529" s="615"/>
      <c r="R529" s="162" t="s">
        <v>1110</v>
      </c>
      <c r="S529" s="72">
        <f t="shared" si="32"/>
        <v>0</v>
      </c>
      <c r="T529" s="72">
        <f t="shared" si="33"/>
        <v>0</v>
      </c>
      <c r="U529" s="131">
        <v>1</v>
      </c>
      <c r="V529" s="132">
        <v>1</v>
      </c>
    </row>
    <row r="530" spans="1:22" s="46" customFormat="1" ht="18" customHeight="1" x14ac:dyDescent="0.25">
      <c r="A530" s="743"/>
      <c r="B530" s="756"/>
      <c r="C530" s="740"/>
      <c r="D530" s="740"/>
      <c r="E530" s="608"/>
      <c r="F530" s="230"/>
      <c r="G530" s="81"/>
      <c r="H530" s="230"/>
      <c r="I530" s="88" t="s">
        <v>1111</v>
      </c>
      <c r="J530" s="89">
        <v>100</v>
      </c>
      <c r="K530" s="90"/>
      <c r="L530" s="229"/>
      <c r="M530" s="92" t="s">
        <v>486</v>
      </c>
      <c r="N530" s="89">
        <v>0</v>
      </c>
      <c r="O530" s="88">
        <v>1</v>
      </c>
      <c r="P530" s="89" t="s">
        <v>1112</v>
      </c>
      <c r="Q530" s="88" t="s">
        <v>573</v>
      </c>
      <c r="R530" s="95" t="s">
        <v>1113</v>
      </c>
      <c r="S530" s="72">
        <f t="shared" si="32"/>
        <v>0</v>
      </c>
      <c r="T530" s="72">
        <f t="shared" si="33"/>
        <v>0</v>
      </c>
      <c r="U530" s="244">
        <v>1</v>
      </c>
      <c r="V530" s="188">
        <v>1</v>
      </c>
    </row>
    <row r="531" spans="1:22" s="46" customFormat="1" ht="18" customHeight="1" x14ac:dyDescent="0.25">
      <c r="A531" s="743"/>
      <c r="B531" s="756"/>
      <c r="C531" s="740"/>
      <c r="D531" s="740"/>
      <c r="E531" s="608"/>
      <c r="F531" s="230"/>
      <c r="G531" s="81"/>
      <c r="H531" s="230"/>
      <c r="I531" s="296" t="s">
        <v>152</v>
      </c>
      <c r="J531" s="295">
        <v>160</v>
      </c>
      <c r="K531" s="81"/>
      <c r="L531" s="230"/>
      <c r="M531" s="83" t="s">
        <v>486</v>
      </c>
      <c r="N531" s="80">
        <v>5</v>
      </c>
      <c r="O531" s="79">
        <v>1</v>
      </c>
      <c r="P531" s="80" t="s">
        <v>1112</v>
      </c>
      <c r="Q531" s="81"/>
      <c r="R531" s="550" t="s">
        <v>488</v>
      </c>
      <c r="S531" s="72">
        <f t="shared" si="32"/>
        <v>2</v>
      </c>
      <c r="T531" s="72">
        <f t="shared" si="33"/>
        <v>1</v>
      </c>
      <c r="U531" s="72">
        <f t="shared" ref="U531:U583" si="34">ROUND(O531/3,0)</f>
        <v>0</v>
      </c>
      <c r="V531" s="86">
        <f t="shared" ref="V531:V583" si="35">ROUND(U531/3,0)</f>
        <v>0</v>
      </c>
    </row>
    <row r="532" spans="1:22" s="46" customFormat="1" ht="18" customHeight="1" x14ac:dyDescent="0.25">
      <c r="A532" s="743"/>
      <c r="B532" s="756"/>
      <c r="C532" s="740"/>
      <c r="D532" s="740"/>
      <c r="E532" s="608"/>
      <c r="F532" s="230"/>
      <c r="G532" s="81"/>
      <c r="H532" s="230"/>
      <c r="I532" s="88" t="s">
        <v>1114</v>
      </c>
      <c r="J532" s="89">
        <v>160</v>
      </c>
      <c r="K532" s="90"/>
      <c r="L532" s="229"/>
      <c r="M532" s="92" t="s">
        <v>486</v>
      </c>
      <c r="N532" s="89">
        <v>0</v>
      </c>
      <c r="O532" s="88">
        <v>1</v>
      </c>
      <c r="P532" s="89" t="s">
        <v>1112</v>
      </c>
      <c r="Q532" s="88" t="s">
        <v>1115</v>
      </c>
      <c r="R532" s="95" t="s">
        <v>1116</v>
      </c>
      <c r="S532" s="72">
        <f t="shared" si="32"/>
        <v>0</v>
      </c>
      <c r="T532" s="72">
        <f t="shared" si="33"/>
        <v>0</v>
      </c>
      <c r="U532" s="244">
        <v>1</v>
      </c>
      <c r="V532" s="188">
        <v>1</v>
      </c>
    </row>
    <row r="533" spans="1:22" s="46" customFormat="1" ht="18" customHeight="1" x14ac:dyDescent="0.25">
      <c r="A533" s="743"/>
      <c r="B533" s="756"/>
      <c r="C533" s="740"/>
      <c r="D533" s="740"/>
      <c r="E533" s="608"/>
      <c r="F533" s="230"/>
      <c r="G533" s="81"/>
      <c r="H533" s="230"/>
      <c r="I533" s="296" t="s">
        <v>151</v>
      </c>
      <c r="J533" s="295">
        <v>100</v>
      </c>
      <c r="K533" s="81"/>
      <c r="L533" s="230"/>
      <c r="M533" s="83" t="s">
        <v>486</v>
      </c>
      <c r="N533" s="80">
        <v>52</v>
      </c>
      <c r="O533" s="79">
        <v>4</v>
      </c>
      <c r="P533" s="80" t="s">
        <v>1112</v>
      </c>
      <c r="Q533" s="81"/>
      <c r="R533" s="550" t="s">
        <v>488</v>
      </c>
      <c r="S533" s="72">
        <f t="shared" si="32"/>
        <v>17</v>
      </c>
      <c r="T533" s="72">
        <f t="shared" si="33"/>
        <v>6</v>
      </c>
      <c r="U533" s="72">
        <f t="shared" si="34"/>
        <v>1</v>
      </c>
      <c r="V533" s="86">
        <f t="shared" si="35"/>
        <v>0</v>
      </c>
    </row>
    <row r="534" spans="1:22" s="46" customFormat="1" ht="18" customHeight="1" x14ac:dyDescent="0.25">
      <c r="A534" s="743"/>
      <c r="B534" s="756"/>
      <c r="C534" s="740"/>
      <c r="D534" s="740"/>
      <c r="E534" s="608"/>
      <c r="F534" s="230"/>
      <c r="G534" s="81"/>
      <c r="H534" s="230"/>
      <c r="I534" s="296" t="s">
        <v>193</v>
      </c>
      <c r="J534" s="295">
        <v>63</v>
      </c>
      <c r="K534" s="81"/>
      <c r="L534" s="230"/>
      <c r="M534" s="83" t="s">
        <v>486</v>
      </c>
      <c r="N534" s="80">
        <v>0</v>
      </c>
      <c r="O534" s="79">
        <v>0</v>
      </c>
      <c r="P534" s="80" t="s">
        <v>1112</v>
      </c>
      <c r="Q534" s="79" t="s">
        <v>1117</v>
      </c>
      <c r="R534" s="550" t="s">
        <v>488</v>
      </c>
      <c r="S534" s="72">
        <f t="shared" ref="S534:S597" si="36">ROUND(N534/3,0)</f>
        <v>0</v>
      </c>
      <c r="T534" s="72">
        <f t="shared" si="33"/>
        <v>0</v>
      </c>
      <c r="U534" s="189">
        <v>0</v>
      </c>
      <c r="V534" s="297">
        <v>0</v>
      </c>
    </row>
    <row r="535" spans="1:22" s="46" customFormat="1" ht="18" customHeight="1" x14ac:dyDescent="0.25">
      <c r="A535" s="743"/>
      <c r="B535" s="756"/>
      <c r="C535" s="740"/>
      <c r="D535" s="740"/>
      <c r="E535" s="608"/>
      <c r="F535" s="230"/>
      <c r="G535" s="81"/>
      <c r="H535" s="230"/>
      <c r="I535" s="296" t="s">
        <v>185</v>
      </c>
      <c r="J535" s="295">
        <v>250</v>
      </c>
      <c r="K535" s="81"/>
      <c r="L535" s="230"/>
      <c r="M535" s="83" t="s">
        <v>486</v>
      </c>
      <c r="N535" s="80">
        <v>186</v>
      </c>
      <c r="O535" s="79">
        <v>7</v>
      </c>
      <c r="P535" s="80" t="s">
        <v>1112</v>
      </c>
      <c r="Q535" s="79" t="s">
        <v>1118</v>
      </c>
      <c r="R535" s="550" t="s">
        <v>488</v>
      </c>
      <c r="S535" s="72">
        <f t="shared" si="36"/>
        <v>62</v>
      </c>
      <c r="T535" s="72">
        <f t="shared" si="33"/>
        <v>21</v>
      </c>
      <c r="U535" s="72">
        <f t="shared" si="34"/>
        <v>2</v>
      </c>
      <c r="V535" s="86">
        <f t="shared" si="35"/>
        <v>1</v>
      </c>
    </row>
    <row r="536" spans="1:22" s="46" customFormat="1" ht="18" customHeight="1" x14ac:dyDescent="0.25">
      <c r="A536" s="743"/>
      <c r="B536" s="756"/>
      <c r="C536" s="740"/>
      <c r="D536" s="740"/>
      <c r="E536" s="608"/>
      <c r="F536" s="230"/>
      <c r="G536" s="81"/>
      <c r="H536" s="230"/>
      <c r="I536" s="296" t="s">
        <v>157</v>
      </c>
      <c r="J536" s="295">
        <v>250</v>
      </c>
      <c r="K536" s="81"/>
      <c r="L536" s="230"/>
      <c r="M536" s="83" t="s">
        <v>486</v>
      </c>
      <c r="N536" s="80">
        <v>190</v>
      </c>
      <c r="O536" s="79">
        <v>4</v>
      </c>
      <c r="P536" s="80" t="s">
        <v>1112</v>
      </c>
      <c r="Q536" s="79" t="s">
        <v>525</v>
      </c>
      <c r="R536" s="550" t="s">
        <v>488</v>
      </c>
      <c r="S536" s="72">
        <f t="shared" si="36"/>
        <v>63</v>
      </c>
      <c r="T536" s="72">
        <f t="shared" si="33"/>
        <v>21</v>
      </c>
      <c r="U536" s="72">
        <f t="shared" si="34"/>
        <v>1</v>
      </c>
      <c r="V536" s="86">
        <f t="shared" si="35"/>
        <v>0</v>
      </c>
    </row>
    <row r="537" spans="1:22" s="46" customFormat="1" ht="18" customHeight="1" x14ac:dyDescent="0.25">
      <c r="A537" s="743"/>
      <c r="B537" s="756"/>
      <c r="C537" s="740"/>
      <c r="D537" s="740"/>
      <c r="E537" s="608"/>
      <c r="F537" s="230"/>
      <c r="G537" s="81"/>
      <c r="H537" s="230"/>
      <c r="I537" s="296" t="s">
        <v>174</v>
      </c>
      <c r="J537" s="295">
        <v>160</v>
      </c>
      <c r="K537" s="81"/>
      <c r="L537" s="230"/>
      <c r="M537" s="83" t="s">
        <v>486</v>
      </c>
      <c r="N537" s="80">
        <v>64</v>
      </c>
      <c r="O537" s="79">
        <v>8</v>
      </c>
      <c r="P537" s="80" t="s">
        <v>1112</v>
      </c>
      <c r="Q537" s="79" t="s">
        <v>530</v>
      </c>
      <c r="R537" s="550" t="s">
        <v>488</v>
      </c>
      <c r="S537" s="72">
        <f t="shared" si="36"/>
        <v>21</v>
      </c>
      <c r="T537" s="72">
        <f t="shared" si="33"/>
        <v>7</v>
      </c>
      <c r="U537" s="72">
        <f t="shared" si="34"/>
        <v>3</v>
      </c>
      <c r="V537" s="86">
        <f t="shared" si="35"/>
        <v>1</v>
      </c>
    </row>
    <row r="538" spans="1:22" s="46" customFormat="1" ht="18" customHeight="1" thickBot="1" x14ac:dyDescent="0.3">
      <c r="A538" s="743"/>
      <c r="B538" s="756"/>
      <c r="C538" s="740"/>
      <c r="D538" s="740"/>
      <c r="E538" s="609"/>
      <c r="F538" s="234"/>
      <c r="G538" s="210"/>
      <c r="H538" s="234"/>
      <c r="I538" s="101" t="s">
        <v>1119</v>
      </c>
      <c r="J538" s="102">
        <v>25</v>
      </c>
      <c r="K538" s="103"/>
      <c r="L538" s="281"/>
      <c r="M538" s="105" t="s">
        <v>486</v>
      </c>
      <c r="N538" s="102">
        <v>0</v>
      </c>
      <c r="O538" s="101">
        <v>1</v>
      </c>
      <c r="P538" s="102" t="s">
        <v>1112</v>
      </c>
      <c r="Q538" s="101" t="s">
        <v>973</v>
      </c>
      <c r="R538" s="282" t="s">
        <v>1082</v>
      </c>
      <c r="S538" s="72">
        <f t="shared" si="36"/>
        <v>0</v>
      </c>
      <c r="T538" s="72">
        <f t="shared" si="33"/>
        <v>0</v>
      </c>
      <c r="U538" s="244">
        <v>1</v>
      </c>
      <c r="V538" s="188">
        <v>1</v>
      </c>
    </row>
    <row r="539" spans="1:22" s="46" customFormat="1" ht="18" customHeight="1" x14ac:dyDescent="0.25">
      <c r="A539" s="743"/>
      <c r="B539" s="756"/>
      <c r="C539" s="740"/>
      <c r="D539" s="740"/>
      <c r="E539" s="778" t="s">
        <v>1120</v>
      </c>
      <c r="F539" s="243"/>
      <c r="G539" s="178"/>
      <c r="H539" s="243"/>
      <c r="I539" s="287" t="s">
        <v>155</v>
      </c>
      <c r="J539" s="288">
        <v>160</v>
      </c>
      <c r="K539" s="178"/>
      <c r="L539" s="243"/>
      <c r="M539" s="70" t="s">
        <v>486</v>
      </c>
      <c r="N539" s="68">
        <v>51</v>
      </c>
      <c r="O539" s="67">
        <v>10</v>
      </c>
      <c r="P539" s="68" t="s">
        <v>1112</v>
      </c>
      <c r="Q539" s="67" t="s">
        <v>1121</v>
      </c>
      <c r="R539" s="289" t="s">
        <v>488</v>
      </c>
      <c r="S539" s="72">
        <f t="shared" si="36"/>
        <v>17</v>
      </c>
      <c r="T539" s="72">
        <f t="shared" si="33"/>
        <v>6</v>
      </c>
      <c r="U539" s="72">
        <f t="shared" si="34"/>
        <v>3</v>
      </c>
      <c r="V539" s="86">
        <f t="shared" si="35"/>
        <v>1</v>
      </c>
    </row>
    <row r="540" spans="1:22" s="46" customFormat="1" ht="18" customHeight="1" x14ac:dyDescent="0.25">
      <c r="A540" s="743"/>
      <c r="B540" s="756"/>
      <c r="C540" s="740"/>
      <c r="D540" s="740"/>
      <c r="E540" s="779"/>
      <c r="F540" s="230"/>
      <c r="G540" s="81"/>
      <c r="H540" s="230"/>
      <c r="I540" s="296" t="s">
        <v>156</v>
      </c>
      <c r="J540" s="295">
        <v>160</v>
      </c>
      <c r="K540" s="81"/>
      <c r="L540" s="230"/>
      <c r="M540" s="83" t="s">
        <v>486</v>
      </c>
      <c r="N540" s="80">
        <v>131</v>
      </c>
      <c r="O540" s="79">
        <v>0</v>
      </c>
      <c r="P540" s="80" t="s">
        <v>1112</v>
      </c>
      <c r="Q540" s="81"/>
      <c r="R540" s="550" t="s">
        <v>488</v>
      </c>
      <c r="S540" s="72">
        <f t="shared" si="36"/>
        <v>44</v>
      </c>
      <c r="T540" s="72">
        <f t="shared" si="33"/>
        <v>15</v>
      </c>
      <c r="U540" s="72">
        <f t="shared" si="34"/>
        <v>0</v>
      </c>
      <c r="V540" s="86">
        <f t="shared" si="35"/>
        <v>0</v>
      </c>
    </row>
    <row r="541" spans="1:22" s="46" customFormat="1" ht="18" customHeight="1" x14ac:dyDescent="0.25">
      <c r="A541" s="743"/>
      <c r="B541" s="756"/>
      <c r="C541" s="740"/>
      <c r="D541" s="740"/>
      <c r="E541" s="779"/>
      <c r="F541" s="230"/>
      <c r="G541" s="81"/>
      <c r="H541" s="230"/>
      <c r="I541" s="296" t="s">
        <v>169</v>
      </c>
      <c r="J541" s="295">
        <v>160</v>
      </c>
      <c r="K541" s="81"/>
      <c r="L541" s="230"/>
      <c r="M541" s="83" t="s">
        <v>486</v>
      </c>
      <c r="N541" s="80">
        <v>120</v>
      </c>
      <c r="O541" s="79">
        <v>6</v>
      </c>
      <c r="P541" s="80" t="s">
        <v>1112</v>
      </c>
      <c r="Q541" s="81"/>
      <c r="R541" s="550" t="s">
        <v>488</v>
      </c>
      <c r="S541" s="72">
        <f t="shared" si="36"/>
        <v>40</v>
      </c>
      <c r="T541" s="72">
        <f t="shared" si="33"/>
        <v>13</v>
      </c>
      <c r="U541" s="72">
        <f t="shared" si="34"/>
        <v>2</v>
      </c>
      <c r="V541" s="86">
        <f t="shared" si="35"/>
        <v>1</v>
      </c>
    </row>
    <row r="542" spans="1:22" s="46" customFormat="1" ht="18" customHeight="1" x14ac:dyDescent="0.25">
      <c r="A542" s="743"/>
      <c r="B542" s="756"/>
      <c r="C542" s="740"/>
      <c r="D542" s="740"/>
      <c r="E542" s="779"/>
      <c r="F542" s="230"/>
      <c r="G542" s="81"/>
      <c r="H542" s="230"/>
      <c r="I542" s="296" t="s">
        <v>168</v>
      </c>
      <c r="J542" s="295">
        <v>250</v>
      </c>
      <c r="K542" s="81"/>
      <c r="L542" s="230"/>
      <c r="M542" s="83" t="s">
        <v>486</v>
      </c>
      <c r="N542" s="80">
        <v>0</v>
      </c>
      <c r="O542" s="79">
        <v>2</v>
      </c>
      <c r="P542" s="80" t="s">
        <v>1112</v>
      </c>
      <c r="Q542" s="79" t="s">
        <v>720</v>
      </c>
      <c r="R542" s="550" t="s">
        <v>488</v>
      </c>
      <c r="S542" s="72">
        <f t="shared" si="36"/>
        <v>0</v>
      </c>
      <c r="T542" s="72">
        <f t="shared" si="33"/>
        <v>0</v>
      </c>
      <c r="U542" s="189">
        <v>2</v>
      </c>
      <c r="V542" s="297">
        <v>2</v>
      </c>
    </row>
    <row r="543" spans="1:22" s="46" customFormat="1" ht="18" customHeight="1" x14ac:dyDescent="0.25">
      <c r="A543" s="743"/>
      <c r="B543" s="756"/>
      <c r="C543" s="740"/>
      <c r="D543" s="740"/>
      <c r="E543" s="779"/>
      <c r="F543" s="230"/>
      <c r="G543" s="81"/>
      <c r="H543" s="230"/>
      <c r="I543" s="88" t="s">
        <v>1122</v>
      </c>
      <c r="J543" s="89">
        <v>10</v>
      </c>
      <c r="K543" s="90"/>
      <c r="L543" s="229"/>
      <c r="M543" s="92" t="s">
        <v>486</v>
      </c>
      <c r="N543" s="89">
        <v>0</v>
      </c>
      <c r="O543" s="88">
        <v>1</v>
      </c>
      <c r="P543" s="89" t="s">
        <v>1112</v>
      </c>
      <c r="Q543" s="88" t="s">
        <v>1123</v>
      </c>
      <c r="R543" s="95" t="s">
        <v>1124</v>
      </c>
      <c r="S543" s="72">
        <f t="shared" si="36"/>
        <v>0</v>
      </c>
      <c r="T543" s="72">
        <f t="shared" si="33"/>
        <v>0</v>
      </c>
      <c r="U543" s="244">
        <v>1</v>
      </c>
      <c r="V543" s="188">
        <v>1</v>
      </c>
    </row>
    <row r="544" spans="1:22" s="46" customFormat="1" ht="18" customHeight="1" x14ac:dyDescent="0.25">
      <c r="A544" s="743"/>
      <c r="B544" s="756"/>
      <c r="C544" s="740"/>
      <c r="D544" s="740"/>
      <c r="E544" s="779"/>
      <c r="F544" s="230"/>
      <c r="G544" s="81"/>
      <c r="H544" s="230"/>
      <c r="I544" s="88" t="s">
        <v>1125</v>
      </c>
      <c r="J544" s="89">
        <v>10</v>
      </c>
      <c r="K544" s="90"/>
      <c r="L544" s="229"/>
      <c r="M544" s="92" t="s">
        <v>486</v>
      </c>
      <c r="N544" s="93"/>
      <c r="O544" s="94"/>
      <c r="P544" s="89" t="s">
        <v>1112</v>
      </c>
      <c r="Q544" s="88" t="s">
        <v>688</v>
      </c>
      <c r="R544" s="95" t="s">
        <v>1124</v>
      </c>
      <c r="S544" s="72">
        <f t="shared" si="36"/>
        <v>0</v>
      </c>
      <c r="T544" s="72">
        <f t="shared" si="33"/>
        <v>0</v>
      </c>
      <c r="U544" s="96">
        <v>0</v>
      </c>
      <c r="V544" s="97">
        <v>0</v>
      </c>
    </row>
    <row r="545" spans="1:22" s="46" customFormat="1" ht="18" customHeight="1" x14ac:dyDescent="0.25">
      <c r="A545" s="743"/>
      <c r="B545" s="756"/>
      <c r="C545" s="740"/>
      <c r="D545" s="740"/>
      <c r="E545" s="779"/>
      <c r="F545" s="230"/>
      <c r="G545" s="81"/>
      <c r="H545" s="230"/>
      <c r="I545" s="88" t="s">
        <v>1126</v>
      </c>
      <c r="J545" s="89">
        <v>63</v>
      </c>
      <c r="K545" s="90"/>
      <c r="L545" s="229"/>
      <c r="M545" s="92" t="s">
        <v>486</v>
      </c>
      <c r="N545" s="89">
        <v>0</v>
      </c>
      <c r="O545" s="88">
        <v>1</v>
      </c>
      <c r="P545" s="89" t="s">
        <v>1112</v>
      </c>
      <c r="Q545" s="88" t="s">
        <v>528</v>
      </c>
      <c r="R545" s="95" t="s">
        <v>1124</v>
      </c>
      <c r="S545" s="72">
        <f t="shared" si="36"/>
        <v>0</v>
      </c>
      <c r="T545" s="72">
        <f t="shared" si="33"/>
        <v>0</v>
      </c>
      <c r="U545" s="244">
        <v>1</v>
      </c>
      <c r="V545" s="188">
        <v>1</v>
      </c>
    </row>
    <row r="546" spans="1:22" s="46" customFormat="1" ht="18" customHeight="1" thickBot="1" x14ac:dyDescent="0.3">
      <c r="A546" s="743"/>
      <c r="B546" s="756"/>
      <c r="C546" s="740"/>
      <c r="D546" s="740"/>
      <c r="E546" s="779"/>
      <c r="F546" s="234"/>
      <c r="G546" s="210"/>
      <c r="H546" s="234"/>
      <c r="I546" s="565" t="s">
        <v>203</v>
      </c>
      <c r="J546" s="566">
        <v>100</v>
      </c>
      <c r="K546" s="210"/>
      <c r="L546" s="234"/>
      <c r="M546" s="212" t="s">
        <v>486</v>
      </c>
      <c r="N546" s="209">
        <v>0</v>
      </c>
      <c r="O546" s="208">
        <v>0</v>
      </c>
      <c r="P546" s="209" t="s">
        <v>1112</v>
      </c>
      <c r="Q546" s="208" t="s">
        <v>669</v>
      </c>
      <c r="R546" s="567" t="s">
        <v>488</v>
      </c>
      <c r="S546" s="72">
        <f t="shared" si="36"/>
        <v>0</v>
      </c>
      <c r="T546" s="72">
        <f t="shared" si="33"/>
        <v>0</v>
      </c>
      <c r="U546" s="189">
        <v>0</v>
      </c>
      <c r="V546" s="297">
        <v>0</v>
      </c>
    </row>
    <row r="547" spans="1:22" s="46" customFormat="1" ht="18" customHeight="1" x14ac:dyDescent="0.25">
      <c r="A547" s="743"/>
      <c r="B547" s="756"/>
      <c r="C547" s="740"/>
      <c r="D547" s="740"/>
      <c r="E547" s="779"/>
      <c r="F547" s="778" t="s">
        <v>1127</v>
      </c>
      <c r="G547" s="178"/>
      <c r="H547" s="243"/>
      <c r="I547" s="289" t="s">
        <v>155</v>
      </c>
      <c r="J547" s="289">
        <v>160</v>
      </c>
      <c r="K547" s="270"/>
      <c r="L547" s="270"/>
      <c r="M547" s="426" t="s">
        <v>486</v>
      </c>
      <c r="N547" s="71">
        <v>51</v>
      </c>
      <c r="O547" s="71">
        <v>10</v>
      </c>
      <c r="P547" s="71" t="s">
        <v>1112</v>
      </c>
      <c r="Q547" s="71" t="s">
        <v>1121</v>
      </c>
      <c r="R547" s="289" t="s">
        <v>488</v>
      </c>
      <c r="S547" s="72">
        <f t="shared" si="36"/>
        <v>17</v>
      </c>
      <c r="T547" s="72">
        <f t="shared" si="33"/>
        <v>6</v>
      </c>
      <c r="U547" s="72">
        <f t="shared" si="34"/>
        <v>3</v>
      </c>
      <c r="V547" s="86">
        <f t="shared" si="35"/>
        <v>1</v>
      </c>
    </row>
    <row r="548" spans="1:22" s="46" customFormat="1" ht="18" customHeight="1" x14ac:dyDescent="0.25">
      <c r="A548" s="743"/>
      <c r="B548" s="756"/>
      <c r="C548" s="740"/>
      <c r="D548" s="740"/>
      <c r="E548" s="779"/>
      <c r="F548" s="779"/>
      <c r="G548" s="81"/>
      <c r="H548" s="230"/>
      <c r="I548" s="550" t="s">
        <v>156</v>
      </c>
      <c r="J548" s="550">
        <v>160</v>
      </c>
      <c r="K548" s="120"/>
      <c r="L548" s="120"/>
      <c r="M548" s="122" t="s">
        <v>486</v>
      </c>
      <c r="N548" s="85">
        <v>131</v>
      </c>
      <c r="O548" s="85">
        <v>0</v>
      </c>
      <c r="P548" s="85" t="s">
        <v>1112</v>
      </c>
      <c r="Q548" s="120"/>
      <c r="R548" s="550" t="s">
        <v>488</v>
      </c>
      <c r="S548" s="72">
        <f t="shared" si="36"/>
        <v>44</v>
      </c>
      <c r="T548" s="72">
        <f t="shared" si="33"/>
        <v>15</v>
      </c>
      <c r="U548" s="72">
        <f t="shared" si="34"/>
        <v>0</v>
      </c>
      <c r="V548" s="86">
        <f t="shared" si="35"/>
        <v>0</v>
      </c>
    </row>
    <row r="549" spans="1:22" s="46" customFormat="1" ht="18" customHeight="1" x14ac:dyDescent="0.25">
      <c r="A549" s="743"/>
      <c r="B549" s="756"/>
      <c r="C549" s="740"/>
      <c r="D549" s="740"/>
      <c r="E549" s="779"/>
      <c r="F549" s="779"/>
      <c r="G549" s="81"/>
      <c r="H549" s="230"/>
      <c r="I549" s="550" t="s">
        <v>169</v>
      </c>
      <c r="J549" s="550">
        <v>160</v>
      </c>
      <c r="K549" s="120"/>
      <c r="L549" s="120"/>
      <c r="M549" s="122" t="s">
        <v>486</v>
      </c>
      <c r="N549" s="85">
        <v>120</v>
      </c>
      <c r="O549" s="85">
        <v>6</v>
      </c>
      <c r="P549" s="85" t="s">
        <v>1112</v>
      </c>
      <c r="Q549" s="120"/>
      <c r="R549" s="550" t="s">
        <v>488</v>
      </c>
      <c r="S549" s="72">
        <f t="shared" si="36"/>
        <v>40</v>
      </c>
      <c r="T549" s="72">
        <f t="shared" si="33"/>
        <v>13</v>
      </c>
      <c r="U549" s="72">
        <f t="shared" si="34"/>
        <v>2</v>
      </c>
      <c r="V549" s="86">
        <f t="shared" si="35"/>
        <v>1</v>
      </c>
    </row>
    <row r="550" spans="1:22" s="46" customFormat="1" ht="18" customHeight="1" x14ac:dyDescent="0.25">
      <c r="A550" s="743"/>
      <c r="B550" s="756"/>
      <c r="C550" s="740"/>
      <c r="D550" s="740"/>
      <c r="E550" s="779"/>
      <c r="F550" s="779"/>
      <c r="G550" s="81"/>
      <c r="H550" s="230"/>
      <c r="I550" s="550" t="s">
        <v>168</v>
      </c>
      <c r="J550" s="550">
        <v>250</v>
      </c>
      <c r="K550" s="120"/>
      <c r="L550" s="120"/>
      <c r="M550" s="122" t="s">
        <v>486</v>
      </c>
      <c r="N550" s="85">
        <v>0</v>
      </c>
      <c r="O550" s="85">
        <v>2</v>
      </c>
      <c r="P550" s="85" t="s">
        <v>1112</v>
      </c>
      <c r="Q550" s="85" t="s">
        <v>720</v>
      </c>
      <c r="R550" s="550" t="s">
        <v>488</v>
      </c>
      <c r="S550" s="72">
        <f t="shared" si="36"/>
        <v>0</v>
      </c>
      <c r="T550" s="72">
        <f t="shared" si="33"/>
        <v>0</v>
      </c>
      <c r="U550" s="189">
        <v>2</v>
      </c>
      <c r="V550" s="297">
        <v>2</v>
      </c>
    </row>
    <row r="551" spans="1:22" s="46" customFormat="1" ht="18" customHeight="1" x14ac:dyDescent="0.25">
      <c r="A551" s="743"/>
      <c r="B551" s="756"/>
      <c r="C551" s="740"/>
      <c r="D551" s="740"/>
      <c r="E551" s="779"/>
      <c r="F551" s="779"/>
      <c r="G551" s="81"/>
      <c r="H551" s="230"/>
      <c r="I551" s="95" t="s">
        <v>1122</v>
      </c>
      <c r="J551" s="95">
        <v>10</v>
      </c>
      <c r="K551" s="427"/>
      <c r="L551" s="427"/>
      <c r="M551" s="428" t="s">
        <v>486</v>
      </c>
      <c r="N551" s="95">
        <v>0</v>
      </c>
      <c r="O551" s="95">
        <v>1</v>
      </c>
      <c r="P551" s="95" t="s">
        <v>1112</v>
      </c>
      <c r="Q551" s="95" t="s">
        <v>1123</v>
      </c>
      <c r="R551" s="95" t="s">
        <v>1124</v>
      </c>
      <c r="S551" s="72">
        <f t="shared" si="36"/>
        <v>0</v>
      </c>
      <c r="T551" s="72">
        <f t="shared" si="33"/>
        <v>0</v>
      </c>
      <c r="U551" s="244">
        <v>1</v>
      </c>
      <c r="V551" s="188">
        <v>1</v>
      </c>
    </row>
    <row r="552" spans="1:22" s="46" customFormat="1" ht="18" customHeight="1" x14ac:dyDescent="0.25">
      <c r="A552" s="743"/>
      <c r="B552" s="756"/>
      <c r="C552" s="740"/>
      <c r="D552" s="740"/>
      <c r="E552" s="779"/>
      <c r="F552" s="779"/>
      <c r="G552" s="81"/>
      <c r="H552" s="230"/>
      <c r="I552" s="95" t="s">
        <v>1125</v>
      </c>
      <c r="J552" s="95">
        <v>10</v>
      </c>
      <c r="K552" s="427"/>
      <c r="L552" s="427"/>
      <c r="M552" s="428" t="s">
        <v>486</v>
      </c>
      <c r="N552" s="95">
        <v>0</v>
      </c>
      <c r="O552" s="95">
        <v>0</v>
      </c>
      <c r="P552" s="95" t="s">
        <v>1112</v>
      </c>
      <c r="Q552" s="95" t="s">
        <v>688</v>
      </c>
      <c r="R552" s="95" t="s">
        <v>1124</v>
      </c>
      <c r="S552" s="72">
        <f t="shared" si="36"/>
        <v>0</v>
      </c>
      <c r="T552" s="72">
        <f t="shared" si="33"/>
        <v>0</v>
      </c>
      <c r="U552" s="244">
        <v>0</v>
      </c>
      <c r="V552" s="188">
        <v>0</v>
      </c>
    </row>
    <row r="553" spans="1:22" s="46" customFormat="1" ht="18" customHeight="1" thickBot="1" x14ac:dyDescent="0.3">
      <c r="A553" s="743"/>
      <c r="B553" s="756"/>
      <c r="C553" s="740"/>
      <c r="D553" s="740"/>
      <c r="E553" s="779"/>
      <c r="F553" s="780"/>
      <c r="G553" s="181"/>
      <c r="H553" s="238"/>
      <c r="I553" s="198" t="s">
        <v>1126</v>
      </c>
      <c r="J553" s="198">
        <v>63</v>
      </c>
      <c r="K553" s="429"/>
      <c r="L553" s="429"/>
      <c r="M553" s="616" t="s">
        <v>486</v>
      </c>
      <c r="N553" s="198">
        <v>0</v>
      </c>
      <c r="O553" s="198">
        <v>1</v>
      </c>
      <c r="P553" s="198" t="s">
        <v>1112</v>
      </c>
      <c r="Q553" s="198" t="s">
        <v>528</v>
      </c>
      <c r="R553" s="198" t="s">
        <v>1124</v>
      </c>
      <c r="S553" s="72">
        <f t="shared" si="36"/>
        <v>0</v>
      </c>
      <c r="T553" s="72">
        <f t="shared" si="33"/>
        <v>0</v>
      </c>
      <c r="U553" s="244">
        <v>1</v>
      </c>
      <c r="V553" s="188">
        <v>1</v>
      </c>
    </row>
    <row r="554" spans="1:22" s="46" customFormat="1" ht="18" customHeight="1" x14ac:dyDescent="0.25">
      <c r="A554" s="743"/>
      <c r="B554" s="756"/>
      <c r="C554" s="740"/>
      <c r="D554" s="740"/>
      <c r="E554" s="779"/>
      <c r="F554" s="292"/>
      <c r="G554" s="151"/>
      <c r="H554" s="292"/>
      <c r="I554" s="546" t="s">
        <v>158</v>
      </c>
      <c r="J554" s="293">
        <v>160</v>
      </c>
      <c r="K554" s="151"/>
      <c r="L554" s="292"/>
      <c r="M554" s="83" t="s">
        <v>486</v>
      </c>
      <c r="N554" s="150">
        <v>218</v>
      </c>
      <c r="O554" s="149">
        <v>4</v>
      </c>
      <c r="P554" s="150" t="s">
        <v>1112</v>
      </c>
      <c r="Q554" s="151"/>
      <c r="R554" s="547" t="s">
        <v>488</v>
      </c>
      <c r="S554" s="72">
        <f t="shared" si="36"/>
        <v>73</v>
      </c>
      <c r="T554" s="72">
        <f t="shared" si="33"/>
        <v>24</v>
      </c>
      <c r="U554" s="72">
        <f t="shared" si="34"/>
        <v>1</v>
      </c>
      <c r="V554" s="86">
        <f t="shared" si="35"/>
        <v>0</v>
      </c>
    </row>
    <row r="555" spans="1:22" s="46" customFormat="1" ht="18" customHeight="1" x14ac:dyDescent="0.25">
      <c r="A555" s="743"/>
      <c r="B555" s="756"/>
      <c r="C555" s="740"/>
      <c r="D555" s="740"/>
      <c r="E555" s="779"/>
      <c r="F555" s="230"/>
      <c r="G555" s="81"/>
      <c r="H555" s="230"/>
      <c r="I555" s="296" t="s">
        <v>159</v>
      </c>
      <c r="J555" s="295">
        <v>100</v>
      </c>
      <c r="K555" s="81"/>
      <c r="L555" s="230"/>
      <c r="M555" s="83" t="s">
        <v>486</v>
      </c>
      <c r="N555" s="80">
        <v>141</v>
      </c>
      <c r="O555" s="79">
        <v>7</v>
      </c>
      <c r="P555" s="80" t="s">
        <v>1128</v>
      </c>
      <c r="Q555" s="81"/>
      <c r="R555" s="550" t="s">
        <v>488</v>
      </c>
      <c r="S555" s="72">
        <f t="shared" si="36"/>
        <v>47</v>
      </c>
      <c r="T555" s="72">
        <f t="shared" si="33"/>
        <v>16</v>
      </c>
      <c r="U555" s="72">
        <f t="shared" si="34"/>
        <v>2</v>
      </c>
      <c r="V555" s="86">
        <f t="shared" si="35"/>
        <v>1</v>
      </c>
    </row>
    <row r="556" spans="1:22" s="46" customFormat="1" ht="18" customHeight="1" x14ac:dyDescent="0.25">
      <c r="A556" s="743"/>
      <c r="B556" s="756"/>
      <c r="C556" s="740"/>
      <c r="D556" s="740"/>
      <c r="E556" s="779"/>
      <c r="F556" s="230"/>
      <c r="G556" s="81"/>
      <c r="H556" s="230"/>
      <c r="I556" s="88" t="s">
        <v>1129</v>
      </c>
      <c r="J556" s="89">
        <v>63</v>
      </c>
      <c r="K556" s="90"/>
      <c r="L556" s="229"/>
      <c r="M556" s="92" t="s">
        <v>486</v>
      </c>
      <c r="N556" s="89">
        <v>0</v>
      </c>
      <c r="O556" s="88">
        <v>1</v>
      </c>
      <c r="P556" s="89" t="s">
        <v>1128</v>
      </c>
      <c r="Q556" s="88" t="s">
        <v>1130</v>
      </c>
      <c r="R556" s="95" t="s">
        <v>1131</v>
      </c>
      <c r="S556" s="72">
        <f t="shared" si="36"/>
        <v>0</v>
      </c>
      <c r="T556" s="72">
        <f t="shared" si="33"/>
        <v>0</v>
      </c>
      <c r="U556" s="244">
        <v>1</v>
      </c>
      <c r="V556" s="188">
        <v>1</v>
      </c>
    </row>
    <row r="557" spans="1:22" s="46" customFormat="1" ht="18" customHeight="1" x14ac:dyDescent="0.25">
      <c r="A557" s="743"/>
      <c r="B557" s="756"/>
      <c r="C557" s="740"/>
      <c r="D557" s="740"/>
      <c r="E557" s="779"/>
      <c r="F557" s="230"/>
      <c r="G557" s="81"/>
      <c r="H557" s="230"/>
      <c r="I557" s="296" t="s">
        <v>1132</v>
      </c>
      <c r="J557" s="295">
        <v>100</v>
      </c>
      <c r="K557" s="81"/>
      <c r="L557" s="230"/>
      <c r="M557" s="83" t="s">
        <v>486</v>
      </c>
      <c r="N557" s="80">
        <v>164</v>
      </c>
      <c r="O557" s="79">
        <v>7</v>
      </c>
      <c r="P557" s="80" t="s">
        <v>1128</v>
      </c>
      <c r="Q557" s="81"/>
      <c r="R557" s="550" t="s">
        <v>488</v>
      </c>
      <c r="S557" s="72">
        <f t="shared" si="36"/>
        <v>55</v>
      </c>
      <c r="T557" s="72">
        <f t="shared" si="33"/>
        <v>18</v>
      </c>
      <c r="U557" s="72">
        <f t="shared" si="34"/>
        <v>2</v>
      </c>
      <c r="V557" s="86">
        <f t="shared" si="35"/>
        <v>1</v>
      </c>
    </row>
    <row r="558" spans="1:22" s="46" customFormat="1" ht="18" customHeight="1" x14ac:dyDescent="0.25">
      <c r="A558" s="743"/>
      <c r="B558" s="756"/>
      <c r="C558" s="740"/>
      <c r="D558" s="740"/>
      <c r="E558" s="779"/>
      <c r="F558" s="230"/>
      <c r="G558" s="81"/>
      <c r="H558" s="230"/>
      <c r="I558" s="296" t="s">
        <v>160</v>
      </c>
      <c r="J558" s="295">
        <v>160</v>
      </c>
      <c r="K558" s="81"/>
      <c r="L558" s="230"/>
      <c r="M558" s="83" t="s">
        <v>486</v>
      </c>
      <c r="N558" s="80">
        <v>79</v>
      </c>
      <c r="O558" s="79">
        <v>5</v>
      </c>
      <c r="P558" s="80" t="s">
        <v>1128</v>
      </c>
      <c r="Q558" s="81"/>
      <c r="R558" s="550" t="s">
        <v>488</v>
      </c>
      <c r="S558" s="72">
        <f t="shared" si="36"/>
        <v>26</v>
      </c>
      <c r="T558" s="72">
        <f t="shared" si="33"/>
        <v>9</v>
      </c>
      <c r="U558" s="72">
        <f t="shared" si="34"/>
        <v>2</v>
      </c>
      <c r="V558" s="86">
        <f t="shared" si="35"/>
        <v>1</v>
      </c>
    </row>
    <row r="559" spans="1:22" s="46" customFormat="1" ht="18" customHeight="1" x14ac:dyDescent="0.25">
      <c r="A559" s="743"/>
      <c r="B559" s="756"/>
      <c r="C559" s="740"/>
      <c r="D559" s="740"/>
      <c r="E559" s="779"/>
      <c r="F559" s="230"/>
      <c r="G559" s="81"/>
      <c r="H559" s="230"/>
      <c r="I559" s="88" t="s">
        <v>1133</v>
      </c>
      <c r="J559" s="89">
        <v>25</v>
      </c>
      <c r="K559" s="90"/>
      <c r="L559" s="229"/>
      <c r="M559" s="92" t="s">
        <v>486</v>
      </c>
      <c r="N559" s="89">
        <v>0</v>
      </c>
      <c r="O559" s="88">
        <v>1</v>
      </c>
      <c r="P559" s="89" t="s">
        <v>1128</v>
      </c>
      <c r="Q559" s="88" t="s">
        <v>1134</v>
      </c>
      <c r="R559" s="95" t="s">
        <v>1093</v>
      </c>
      <c r="S559" s="72">
        <f t="shared" si="36"/>
        <v>0</v>
      </c>
      <c r="T559" s="72">
        <f t="shared" si="33"/>
        <v>0</v>
      </c>
      <c r="U559" s="244">
        <v>1</v>
      </c>
      <c r="V559" s="188">
        <v>1</v>
      </c>
    </row>
    <row r="560" spans="1:22" s="46" customFormat="1" ht="18" customHeight="1" thickBot="1" x14ac:dyDescent="0.3">
      <c r="A560" s="744"/>
      <c r="B560" s="757"/>
      <c r="C560" s="741"/>
      <c r="D560" s="741"/>
      <c r="E560" s="780"/>
      <c r="F560" s="238"/>
      <c r="G560" s="181"/>
      <c r="H560" s="238"/>
      <c r="I560" s="179" t="s">
        <v>161</v>
      </c>
      <c r="J560" s="180">
        <v>10</v>
      </c>
      <c r="K560" s="181"/>
      <c r="L560" s="238"/>
      <c r="M560" s="183" t="s">
        <v>486</v>
      </c>
      <c r="N560" s="180">
        <v>0</v>
      </c>
      <c r="O560" s="179">
        <v>1</v>
      </c>
      <c r="P560" s="180" t="s">
        <v>1128</v>
      </c>
      <c r="Q560" s="402" t="s">
        <v>1135</v>
      </c>
      <c r="R560" s="184" t="s">
        <v>488</v>
      </c>
      <c r="S560" s="72">
        <f t="shared" si="36"/>
        <v>0</v>
      </c>
      <c r="T560" s="72">
        <f t="shared" si="33"/>
        <v>0</v>
      </c>
      <c r="U560" s="189">
        <v>1</v>
      </c>
      <c r="V560" s="297">
        <v>1</v>
      </c>
    </row>
    <row r="561" spans="1:22" s="46" customFormat="1" ht="18" customHeight="1" x14ac:dyDescent="0.25">
      <c r="A561" s="742" t="s">
        <v>1136</v>
      </c>
      <c r="B561" s="755" t="s">
        <v>484</v>
      </c>
      <c r="C561" s="746" t="s">
        <v>1137</v>
      </c>
      <c r="D561" s="750"/>
      <c r="E561" s="292"/>
      <c r="F561" s="292"/>
      <c r="G561" s="151"/>
      <c r="H561" s="292"/>
      <c r="I561" s="617" t="s">
        <v>1138</v>
      </c>
      <c r="J561" s="618">
        <v>100</v>
      </c>
      <c r="K561" s="619"/>
      <c r="L561" s="292"/>
      <c r="M561" s="83" t="s">
        <v>486</v>
      </c>
      <c r="N561" s="620"/>
      <c r="O561" s="621"/>
      <c r="P561" s="152" t="s">
        <v>1139</v>
      </c>
      <c r="Q561" s="335" t="s">
        <v>1140</v>
      </c>
      <c r="R561" s="121"/>
      <c r="S561" s="72">
        <f t="shared" si="36"/>
        <v>0</v>
      </c>
      <c r="T561" s="72">
        <f t="shared" si="33"/>
        <v>0</v>
      </c>
      <c r="U561" s="96">
        <v>0</v>
      </c>
      <c r="V561" s="97">
        <v>0</v>
      </c>
    </row>
    <row r="562" spans="1:22" s="46" customFormat="1" ht="18" customHeight="1" x14ac:dyDescent="0.25">
      <c r="A562" s="743"/>
      <c r="B562" s="756"/>
      <c r="C562" s="746"/>
      <c r="D562" s="750"/>
      <c r="E562" s="230"/>
      <c r="F562" s="230"/>
      <c r="G562" s="81"/>
      <c r="H562" s="230"/>
      <c r="I562" s="622" t="s">
        <v>1141</v>
      </c>
      <c r="J562" s="91">
        <v>630</v>
      </c>
      <c r="K562" s="623"/>
      <c r="L562" s="229"/>
      <c r="M562" s="92" t="s">
        <v>486</v>
      </c>
      <c r="N562" s="91">
        <v>0</v>
      </c>
      <c r="O562" s="622">
        <v>2</v>
      </c>
      <c r="P562" s="91" t="s">
        <v>1139</v>
      </c>
      <c r="Q562" s="88" t="s">
        <v>822</v>
      </c>
      <c r="R562" s="624" t="s">
        <v>1142</v>
      </c>
      <c r="S562" s="72">
        <f t="shared" si="36"/>
        <v>0</v>
      </c>
      <c r="T562" s="72">
        <f t="shared" si="33"/>
        <v>0</v>
      </c>
      <c r="U562" s="244">
        <v>2</v>
      </c>
      <c r="V562" s="188">
        <v>2</v>
      </c>
    </row>
    <row r="563" spans="1:22" s="46" customFormat="1" ht="18" customHeight="1" x14ac:dyDescent="0.25">
      <c r="A563" s="743"/>
      <c r="B563" s="756"/>
      <c r="C563" s="746"/>
      <c r="D563" s="750"/>
      <c r="E563" s="230"/>
      <c r="F563" s="230"/>
      <c r="G563" s="81"/>
      <c r="H563" s="230"/>
      <c r="I563" s="622" t="s">
        <v>1143</v>
      </c>
      <c r="J563" s="91">
        <v>1.25</v>
      </c>
      <c r="K563" s="623"/>
      <c r="L563" s="229"/>
      <c r="M563" s="92" t="s">
        <v>486</v>
      </c>
      <c r="N563" s="91">
        <v>0</v>
      </c>
      <c r="O563" s="622">
        <v>1</v>
      </c>
      <c r="P563" s="91" t="s">
        <v>1139</v>
      </c>
      <c r="Q563" s="90" t="s">
        <v>1144</v>
      </c>
      <c r="R563" s="624" t="s">
        <v>1145</v>
      </c>
      <c r="S563" s="72">
        <f t="shared" si="36"/>
        <v>0</v>
      </c>
      <c r="T563" s="72">
        <f t="shared" si="33"/>
        <v>0</v>
      </c>
      <c r="U563" s="244">
        <v>1</v>
      </c>
      <c r="V563" s="188">
        <v>1</v>
      </c>
    </row>
    <row r="564" spans="1:22" s="46" customFormat="1" ht="18" customHeight="1" x14ac:dyDescent="0.25">
      <c r="A564" s="743"/>
      <c r="B564" s="756"/>
      <c r="C564" s="746"/>
      <c r="D564" s="750"/>
      <c r="E564" s="230"/>
      <c r="F564" s="230"/>
      <c r="G564" s="81"/>
      <c r="H564" s="230"/>
      <c r="I564" s="622" t="s">
        <v>1146</v>
      </c>
      <c r="J564" s="91">
        <v>250</v>
      </c>
      <c r="K564" s="623"/>
      <c r="L564" s="229"/>
      <c r="M564" s="92" t="s">
        <v>486</v>
      </c>
      <c r="N564" s="91">
        <v>0</v>
      </c>
      <c r="O564" s="622">
        <v>0</v>
      </c>
      <c r="P564" s="91" t="s">
        <v>1139</v>
      </c>
      <c r="Q564" s="88" t="s">
        <v>826</v>
      </c>
      <c r="R564" s="624" t="s">
        <v>1147</v>
      </c>
      <c r="S564" s="72">
        <f t="shared" si="36"/>
        <v>0</v>
      </c>
      <c r="T564" s="72">
        <f t="shared" si="33"/>
        <v>0</v>
      </c>
      <c r="U564" s="244">
        <v>0</v>
      </c>
      <c r="V564" s="188">
        <v>0</v>
      </c>
    </row>
    <row r="565" spans="1:22" s="46" customFormat="1" ht="18" customHeight="1" thickBot="1" x14ac:dyDescent="0.3">
      <c r="A565" s="743"/>
      <c r="B565" s="756"/>
      <c r="C565" s="746"/>
      <c r="D565" s="750"/>
      <c r="E565" s="230"/>
      <c r="F565" s="230"/>
      <c r="G565" s="81"/>
      <c r="H565" s="234"/>
      <c r="I565" s="625" t="s">
        <v>1148</v>
      </c>
      <c r="J565" s="104">
        <v>63</v>
      </c>
      <c r="K565" s="626"/>
      <c r="L565" s="281"/>
      <c r="M565" s="105" t="s">
        <v>486</v>
      </c>
      <c r="N565" s="104">
        <v>0</v>
      </c>
      <c r="O565" s="625">
        <v>1</v>
      </c>
      <c r="P565" s="104" t="s">
        <v>182</v>
      </c>
      <c r="Q565" s="101" t="s">
        <v>822</v>
      </c>
      <c r="R565" s="627" t="s">
        <v>1149</v>
      </c>
      <c r="S565" s="72">
        <f t="shared" si="36"/>
        <v>0</v>
      </c>
      <c r="T565" s="72">
        <f t="shared" si="33"/>
        <v>0</v>
      </c>
      <c r="U565" s="244">
        <v>1</v>
      </c>
      <c r="V565" s="188">
        <v>1</v>
      </c>
    </row>
    <row r="566" spans="1:22" s="46" customFormat="1" ht="18" customHeight="1" x14ac:dyDescent="0.25">
      <c r="A566" s="743"/>
      <c r="B566" s="756"/>
      <c r="C566" s="746"/>
      <c r="D566" s="750"/>
      <c r="E566" s="230"/>
      <c r="F566" s="230"/>
      <c r="G566" s="81"/>
      <c r="H566" s="778" t="s">
        <v>1150</v>
      </c>
      <c r="I566" s="611" t="s">
        <v>1151</v>
      </c>
      <c r="J566" s="628">
        <v>4</v>
      </c>
      <c r="K566" s="629"/>
      <c r="L566" s="265"/>
      <c r="M566" s="266" t="s">
        <v>486</v>
      </c>
      <c r="N566" s="628">
        <v>0</v>
      </c>
      <c r="O566" s="611">
        <v>1</v>
      </c>
      <c r="P566" s="628" t="s">
        <v>182</v>
      </c>
      <c r="Q566" s="262" t="s">
        <v>1152</v>
      </c>
      <c r="R566" s="630" t="s">
        <v>1153</v>
      </c>
      <c r="S566" s="72">
        <f t="shared" si="36"/>
        <v>0</v>
      </c>
      <c r="T566" s="72">
        <f t="shared" si="33"/>
        <v>0</v>
      </c>
      <c r="U566" s="244">
        <v>1</v>
      </c>
      <c r="V566" s="188">
        <v>1</v>
      </c>
    </row>
    <row r="567" spans="1:22" s="46" customFormat="1" ht="18" customHeight="1" x14ac:dyDescent="0.25">
      <c r="A567" s="743"/>
      <c r="B567" s="756"/>
      <c r="C567" s="746"/>
      <c r="D567" s="750"/>
      <c r="E567" s="230"/>
      <c r="F567" s="230"/>
      <c r="G567" s="81"/>
      <c r="H567" s="779"/>
      <c r="I567" s="631" t="s">
        <v>1154</v>
      </c>
      <c r="J567" s="167">
        <v>40</v>
      </c>
      <c r="K567" s="632"/>
      <c r="L567" s="633"/>
      <c r="M567" s="168" t="s">
        <v>486</v>
      </c>
      <c r="N567" s="345"/>
      <c r="O567" s="142"/>
      <c r="P567" s="165" t="s">
        <v>154</v>
      </c>
      <c r="Q567" s="632"/>
      <c r="R567" s="171" t="s">
        <v>1155</v>
      </c>
      <c r="S567" s="72">
        <f t="shared" si="36"/>
        <v>0</v>
      </c>
      <c r="T567" s="72">
        <f t="shared" si="33"/>
        <v>0</v>
      </c>
      <c r="U567" s="96">
        <v>0</v>
      </c>
      <c r="V567" s="97">
        <v>0</v>
      </c>
    </row>
    <row r="568" spans="1:22" s="46" customFormat="1" ht="18" customHeight="1" x14ac:dyDescent="0.25">
      <c r="A568" s="743"/>
      <c r="B568" s="756"/>
      <c r="C568" s="746"/>
      <c r="D568" s="750"/>
      <c r="E568" s="230"/>
      <c r="F568" s="230"/>
      <c r="G568" s="81"/>
      <c r="H568" s="779"/>
      <c r="I568" s="559" t="s">
        <v>1156</v>
      </c>
      <c r="J568" s="560">
        <v>25</v>
      </c>
      <c r="K568" s="81"/>
      <c r="L568" s="230"/>
      <c r="M568" s="83" t="s">
        <v>486</v>
      </c>
      <c r="N568" s="80">
        <v>0</v>
      </c>
      <c r="O568" s="79">
        <v>1</v>
      </c>
      <c r="P568" s="80" t="s">
        <v>154</v>
      </c>
      <c r="Q568" s="79" t="s">
        <v>1157</v>
      </c>
      <c r="R568" s="550" t="s">
        <v>488</v>
      </c>
      <c r="S568" s="72">
        <f t="shared" si="36"/>
        <v>0</v>
      </c>
      <c r="T568" s="72">
        <f t="shared" si="33"/>
        <v>0</v>
      </c>
      <c r="U568" s="189">
        <v>1</v>
      </c>
      <c r="V568" s="297">
        <v>1</v>
      </c>
    </row>
    <row r="569" spans="1:22" s="46" customFormat="1" ht="18" customHeight="1" x14ac:dyDescent="0.25">
      <c r="A569" s="743"/>
      <c r="B569" s="756"/>
      <c r="C569" s="746"/>
      <c r="D569" s="750"/>
      <c r="E569" s="230"/>
      <c r="F569" s="230"/>
      <c r="G569" s="81"/>
      <c r="H569" s="779"/>
      <c r="I569" s="559" t="s">
        <v>11</v>
      </c>
      <c r="J569" s="560">
        <v>100</v>
      </c>
      <c r="K569" s="81"/>
      <c r="L569" s="230"/>
      <c r="M569" s="83" t="s">
        <v>486</v>
      </c>
      <c r="N569" s="80">
        <v>120</v>
      </c>
      <c r="O569" s="79">
        <v>2</v>
      </c>
      <c r="P569" s="80" t="s">
        <v>1158</v>
      </c>
      <c r="Q569" s="81"/>
      <c r="R569" s="550" t="s">
        <v>488</v>
      </c>
      <c r="S569" s="72">
        <f t="shared" si="36"/>
        <v>40</v>
      </c>
      <c r="T569" s="72">
        <f t="shared" si="33"/>
        <v>13</v>
      </c>
      <c r="U569" s="72">
        <f t="shared" si="34"/>
        <v>1</v>
      </c>
      <c r="V569" s="86">
        <f t="shared" si="35"/>
        <v>0</v>
      </c>
    </row>
    <row r="570" spans="1:22" s="46" customFormat="1" ht="18" customHeight="1" x14ac:dyDescent="0.25">
      <c r="A570" s="743"/>
      <c r="B570" s="756"/>
      <c r="C570" s="746"/>
      <c r="D570" s="750"/>
      <c r="E570" s="230"/>
      <c r="F570" s="230"/>
      <c r="G570" s="81"/>
      <c r="H570" s="779"/>
      <c r="I570" s="559" t="s">
        <v>93</v>
      </c>
      <c r="J570" s="560">
        <v>160</v>
      </c>
      <c r="K570" s="81"/>
      <c r="L570" s="230"/>
      <c r="M570" s="83" t="s">
        <v>486</v>
      </c>
      <c r="N570" s="80">
        <v>185</v>
      </c>
      <c r="O570" s="79">
        <v>4</v>
      </c>
      <c r="P570" s="80" t="s">
        <v>1159</v>
      </c>
      <c r="Q570" s="81"/>
      <c r="R570" s="550" t="s">
        <v>488</v>
      </c>
      <c r="S570" s="72">
        <f t="shared" si="36"/>
        <v>62</v>
      </c>
      <c r="T570" s="72">
        <f t="shared" si="33"/>
        <v>21</v>
      </c>
      <c r="U570" s="72">
        <f t="shared" si="34"/>
        <v>1</v>
      </c>
      <c r="V570" s="86">
        <f t="shared" si="35"/>
        <v>0</v>
      </c>
    </row>
    <row r="571" spans="1:22" s="46" customFormat="1" ht="18" customHeight="1" x14ac:dyDescent="0.25">
      <c r="A571" s="743"/>
      <c r="B571" s="756"/>
      <c r="C571" s="746"/>
      <c r="D571" s="750"/>
      <c r="E571" s="230"/>
      <c r="F571" s="230"/>
      <c r="G571" s="81"/>
      <c r="H571" s="779"/>
      <c r="I571" s="622" t="s">
        <v>1160</v>
      </c>
      <c r="J571" s="91">
        <v>100</v>
      </c>
      <c r="K571" s="90"/>
      <c r="L571" s="229"/>
      <c r="M571" s="92" t="s">
        <v>486</v>
      </c>
      <c r="N571" s="89">
        <v>0</v>
      </c>
      <c r="O571" s="88">
        <v>1</v>
      </c>
      <c r="P571" s="89"/>
      <c r="Q571" s="88" t="s">
        <v>1157</v>
      </c>
      <c r="R571" s="95" t="s">
        <v>1161</v>
      </c>
      <c r="S571" s="72">
        <f t="shared" si="36"/>
        <v>0</v>
      </c>
      <c r="T571" s="72">
        <f t="shared" si="33"/>
        <v>0</v>
      </c>
      <c r="U571" s="244">
        <v>1</v>
      </c>
      <c r="V571" s="188">
        <v>1</v>
      </c>
    </row>
    <row r="572" spans="1:22" s="46" customFormat="1" ht="18" customHeight="1" thickBot="1" x14ac:dyDescent="0.3">
      <c r="A572" s="743"/>
      <c r="B572" s="756"/>
      <c r="C572" s="746"/>
      <c r="D572" s="750"/>
      <c r="E572" s="230"/>
      <c r="F572" s="230"/>
      <c r="G572" s="81"/>
      <c r="H572" s="780"/>
      <c r="I572" s="579" t="s">
        <v>1162</v>
      </c>
      <c r="J572" s="195">
        <v>160</v>
      </c>
      <c r="K572" s="194"/>
      <c r="L572" s="303"/>
      <c r="M572" s="331" t="s">
        <v>486</v>
      </c>
      <c r="N572" s="193">
        <v>0</v>
      </c>
      <c r="O572" s="192">
        <v>1</v>
      </c>
      <c r="P572" s="193"/>
      <c r="Q572" s="192" t="s">
        <v>1157</v>
      </c>
      <c r="R572" s="198" t="s">
        <v>1163</v>
      </c>
      <c r="S572" s="72">
        <f t="shared" si="36"/>
        <v>0</v>
      </c>
      <c r="T572" s="72">
        <f t="shared" si="33"/>
        <v>0</v>
      </c>
      <c r="U572" s="244">
        <v>1</v>
      </c>
      <c r="V572" s="188">
        <v>1</v>
      </c>
    </row>
    <row r="573" spans="1:22" s="46" customFormat="1" ht="18" customHeight="1" x14ac:dyDescent="0.25">
      <c r="A573" s="743"/>
      <c r="B573" s="756"/>
      <c r="C573" s="746"/>
      <c r="D573" s="750"/>
      <c r="E573" s="230"/>
      <c r="F573" s="230"/>
      <c r="G573" s="81"/>
      <c r="H573" s="778" t="s">
        <v>1164</v>
      </c>
      <c r="I573" s="634" t="s">
        <v>204</v>
      </c>
      <c r="J573" s="635">
        <v>160</v>
      </c>
      <c r="K573" s="178"/>
      <c r="L573" s="243"/>
      <c r="M573" s="70" t="s">
        <v>486</v>
      </c>
      <c r="N573" s="68">
        <v>54</v>
      </c>
      <c r="O573" s="67">
        <v>1</v>
      </c>
      <c r="P573" s="68" t="s">
        <v>154</v>
      </c>
      <c r="Q573" s="67" t="s">
        <v>530</v>
      </c>
      <c r="R573" s="289" t="s">
        <v>488</v>
      </c>
      <c r="S573" s="72">
        <f t="shared" si="36"/>
        <v>18</v>
      </c>
      <c r="T573" s="72">
        <f t="shared" si="33"/>
        <v>6</v>
      </c>
      <c r="U573" s="72">
        <f t="shared" si="34"/>
        <v>0</v>
      </c>
      <c r="V573" s="86">
        <f t="shared" si="35"/>
        <v>0</v>
      </c>
    </row>
    <row r="574" spans="1:22" s="46" customFormat="1" ht="18" customHeight="1" x14ac:dyDescent="0.25">
      <c r="A574" s="743"/>
      <c r="B574" s="756"/>
      <c r="C574" s="746"/>
      <c r="D574" s="750"/>
      <c r="E574" s="230"/>
      <c r="F574" s="230"/>
      <c r="G574" s="81"/>
      <c r="H574" s="779"/>
      <c r="I574" s="559" t="s">
        <v>140</v>
      </c>
      <c r="J574" s="560">
        <v>250</v>
      </c>
      <c r="K574" s="81"/>
      <c r="L574" s="230"/>
      <c r="M574" s="83" t="s">
        <v>486</v>
      </c>
      <c r="N574" s="80">
        <v>172</v>
      </c>
      <c r="O574" s="79">
        <v>7</v>
      </c>
      <c r="P574" s="80" t="s">
        <v>154</v>
      </c>
      <c r="Q574" s="81"/>
      <c r="R574" s="550" t="s">
        <v>488</v>
      </c>
      <c r="S574" s="72">
        <f t="shared" si="36"/>
        <v>57</v>
      </c>
      <c r="T574" s="72">
        <f t="shared" si="33"/>
        <v>19</v>
      </c>
      <c r="U574" s="72">
        <f t="shared" si="34"/>
        <v>2</v>
      </c>
      <c r="V574" s="86">
        <f t="shared" si="35"/>
        <v>1</v>
      </c>
    </row>
    <row r="575" spans="1:22" s="46" customFormat="1" ht="18" customHeight="1" x14ac:dyDescent="0.25">
      <c r="A575" s="743"/>
      <c r="B575" s="756"/>
      <c r="C575" s="746"/>
      <c r="D575" s="750"/>
      <c r="E575" s="230"/>
      <c r="F575" s="230"/>
      <c r="G575" s="81"/>
      <c r="H575" s="779"/>
      <c r="I575" s="559" t="s">
        <v>153</v>
      </c>
      <c r="J575" s="560">
        <v>160</v>
      </c>
      <c r="K575" s="81"/>
      <c r="L575" s="230"/>
      <c r="M575" s="83" t="s">
        <v>486</v>
      </c>
      <c r="N575" s="80">
        <v>36</v>
      </c>
      <c r="O575" s="79">
        <v>1</v>
      </c>
      <c r="P575" s="80" t="s">
        <v>154</v>
      </c>
      <c r="Q575" s="81"/>
      <c r="R575" s="550" t="s">
        <v>488</v>
      </c>
      <c r="S575" s="72">
        <f t="shared" si="36"/>
        <v>12</v>
      </c>
      <c r="T575" s="72">
        <f t="shared" si="33"/>
        <v>4</v>
      </c>
      <c r="U575" s="72">
        <f t="shared" si="34"/>
        <v>0</v>
      </c>
      <c r="V575" s="86">
        <f t="shared" si="35"/>
        <v>0</v>
      </c>
    </row>
    <row r="576" spans="1:22" s="46" customFormat="1" ht="18" customHeight="1" x14ac:dyDescent="0.25">
      <c r="A576" s="743"/>
      <c r="B576" s="756"/>
      <c r="C576" s="746"/>
      <c r="D576" s="750"/>
      <c r="E576" s="230"/>
      <c r="F576" s="230"/>
      <c r="G576" s="81"/>
      <c r="H576" s="779"/>
      <c r="I576" s="559" t="s">
        <v>181</v>
      </c>
      <c r="J576" s="560">
        <v>160</v>
      </c>
      <c r="K576" s="81"/>
      <c r="L576" s="230"/>
      <c r="M576" s="83" t="s">
        <v>486</v>
      </c>
      <c r="N576" s="80">
        <v>26</v>
      </c>
      <c r="O576" s="79">
        <v>1</v>
      </c>
      <c r="P576" s="80" t="s">
        <v>182</v>
      </c>
      <c r="Q576" s="81"/>
      <c r="R576" s="550" t="s">
        <v>488</v>
      </c>
      <c r="S576" s="72">
        <f t="shared" si="36"/>
        <v>9</v>
      </c>
      <c r="T576" s="72">
        <f t="shared" si="33"/>
        <v>3</v>
      </c>
      <c r="U576" s="72">
        <f t="shared" si="34"/>
        <v>0</v>
      </c>
      <c r="V576" s="86">
        <f t="shared" si="35"/>
        <v>0</v>
      </c>
    </row>
    <row r="577" spans="1:22" s="46" customFormat="1" ht="18" customHeight="1" x14ac:dyDescent="0.25">
      <c r="A577" s="743"/>
      <c r="B577" s="756"/>
      <c r="C577" s="746"/>
      <c r="D577" s="750"/>
      <c r="E577" s="230"/>
      <c r="F577" s="230"/>
      <c r="G577" s="81"/>
      <c r="H577" s="779"/>
      <c r="I577" s="622" t="s">
        <v>1165</v>
      </c>
      <c r="J577" s="91">
        <v>10</v>
      </c>
      <c r="K577" s="90"/>
      <c r="L577" s="229"/>
      <c r="M577" s="92" t="s">
        <v>486</v>
      </c>
      <c r="N577" s="89">
        <v>0</v>
      </c>
      <c r="O577" s="88">
        <v>1</v>
      </c>
      <c r="P577" s="89" t="s">
        <v>243</v>
      </c>
      <c r="Q577" s="88" t="s">
        <v>1166</v>
      </c>
      <c r="R577" s="95" t="s">
        <v>1167</v>
      </c>
      <c r="S577" s="72">
        <f t="shared" si="36"/>
        <v>0</v>
      </c>
      <c r="T577" s="72">
        <f t="shared" si="33"/>
        <v>0</v>
      </c>
      <c r="U577" s="244">
        <v>1</v>
      </c>
      <c r="V577" s="188">
        <v>1</v>
      </c>
    </row>
    <row r="578" spans="1:22" s="46" customFormat="1" ht="18" customHeight="1" thickBot="1" x14ac:dyDescent="0.3">
      <c r="A578" s="743"/>
      <c r="B578" s="756"/>
      <c r="C578" s="746"/>
      <c r="D578" s="750"/>
      <c r="E578" s="234"/>
      <c r="F578" s="234"/>
      <c r="G578" s="210"/>
      <c r="H578" s="780"/>
      <c r="I578" s="636" t="s">
        <v>175</v>
      </c>
      <c r="J578" s="637">
        <v>400</v>
      </c>
      <c r="K578" s="179">
        <v>400</v>
      </c>
      <c r="L578" s="238"/>
      <c r="M578" s="183" t="s">
        <v>486</v>
      </c>
      <c r="N578" s="180">
        <v>0</v>
      </c>
      <c r="O578" s="179">
        <v>2</v>
      </c>
      <c r="P578" s="180" t="s">
        <v>243</v>
      </c>
      <c r="Q578" s="402" t="s">
        <v>1168</v>
      </c>
      <c r="R578" s="570" t="s">
        <v>488</v>
      </c>
      <c r="S578" s="72">
        <f t="shared" si="36"/>
        <v>0</v>
      </c>
      <c r="T578" s="72">
        <f t="shared" si="33"/>
        <v>0</v>
      </c>
      <c r="U578" s="189">
        <v>2</v>
      </c>
      <c r="V578" s="297">
        <v>2</v>
      </c>
    </row>
    <row r="579" spans="1:22" s="46" customFormat="1" ht="30.75" customHeight="1" thickBot="1" x14ac:dyDescent="0.3">
      <c r="A579" s="743"/>
      <c r="B579" s="777"/>
      <c r="C579" s="638" t="s">
        <v>1169</v>
      </c>
      <c r="D579" s="639"/>
      <c r="E579" s="640"/>
      <c r="F579" s="640"/>
      <c r="G579" s="640"/>
      <c r="H579" s="640"/>
      <c r="I579" s="641" t="s">
        <v>98</v>
      </c>
      <c r="J579" s="641">
        <v>400</v>
      </c>
      <c r="K579" s="641">
        <v>630</v>
      </c>
      <c r="L579" s="642"/>
      <c r="M579" s="643" t="s">
        <v>486</v>
      </c>
      <c r="N579" s="641">
        <v>0</v>
      </c>
      <c r="O579" s="641">
        <v>1</v>
      </c>
      <c r="P579" s="641" t="s">
        <v>1170</v>
      </c>
      <c r="Q579" s="643" t="s">
        <v>1171</v>
      </c>
      <c r="R579" s="644" t="s">
        <v>830</v>
      </c>
      <c r="S579" s="72">
        <f t="shared" si="36"/>
        <v>0</v>
      </c>
      <c r="T579" s="72">
        <f t="shared" si="33"/>
        <v>0</v>
      </c>
      <c r="U579" s="189">
        <v>1</v>
      </c>
      <c r="V579" s="297">
        <v>1</v>
      </c>
    </row>
    <row r="580" spans="1:22" s="46" customFormat="1" ht="18" customHeight="1" thickBot="1" x14ac:dyDescent="0.3">
      <c r="A580" s="743"/>
      <c r="B580" s="756"/>
      <c r="C580" s="387" t="s">
        <v>1172</v>
      </c>
      <c r="D580" s="393"/>
      <c r="E580" s="403"/>
      <c r="F580" s="403"/>
      <c r="G580" s="273"/>
      <c r="H580" s="403"/>
      <c r="I580" s="645" t="s">
        <v>108</v>
      </c>
      <c r="J580" s="646">
        <v>630</v>
      </c>
      <c r="K580" s="647">
        <v>400</v>
      </c>
      <c r="L580" s="403"/>
      <c r="M580" s="215" t="s">
        <v>486</v>
      </c>
      <c r="N580" s="387">
        <v>239</v>
      </c>
      <c r="O580" s="402">
        <v>5</v>
      </c>
      <c r="P580" s="387" t="s">
        <v>1173</v>
      </c>
      <c r="Q580" s="273"/>
      <c r="R580" s="648" t="s">
        <v>488</v>
      </c>
      <c r="S580" s="72">
        <f t="shared" si="36"/>
        <v>80</v>
      </c>
      <c r="T580" s="72">
        <f t="shared" si="33"/>
        <v>27</v>
      </c>
      <c r="U580" s="72">
        <f t="shared" si="34"/>
        <v>2</v>
      </c>
      <c r="V580" s="86">
        <f t="shared" si="35"/>
        <v>1</v>
      </c>
    </row>
    <row r="581" spans="1:22" s="46" customFormat="1" ht="18" customHeight="1" x14ac:dyDescent="0.25">
      <c r="A581" s="743"/>
      <c r="B581" s="756"/>
      <c r="C581" s="746" t="s">
        <v>1174</v>
      </c>
      <c r="D581" s="750"/>
      <c r="E581" s="292"/>
      <c r="F581" s="292"/>
      <c r="G581" s="151"/>
      <c r="H581" s="292"/>
      <c r="I581" s="617" t="s">
        <v>82</v>
      </c>
      <c r="J581" s="150">
        <v>400</v>
      </c>
      <c r="K581" s="149">
        <v>400</v>
      </c>
      <c r="L581" s="292"/>
      <c r="M581" s="83" t="s">
        <v>486</v>
      </c>
      <c r="N581" s="150">
        <v>292</v>
      </c>
      <c r="O581" s="149">
        <v>12</v>
      </c>
      <c r="P581" s="150" t="s">
        <v>1173</v>
      </c>
      <c r="Q581" s="241"/>
      <c r="R581" s="547" t="s">
        <v>488</v>
      </c>
      <c r="S581" s="72">
        <f t="shared" si="36"/>
        <v>97</v>
      </c>
      <c r="T581" s="72">
        <f t="shared" si="33"/>
        <v>32</v>
      </c>
      <c r="U581" s="72">
        <f t="shared" si="34"/>
        <v>4</v>
      </c>
      <c r="V581" s="86">
        <f t="shared" si="35"/>
        <v>1</v>
      </c>
    </row>
    <row r="582" spans="1:22" s="46" customFormat="1" ht="18" customHeight="1" x14ac:dyDescent="0.25">
      <c r="A582" s="743"/>
      <c r="B582" s="756"/>
      <c r="C582" s="746"/>
      <c r="D582" s="750"/>
      <c r="E582" s="230"/>
      <c r="F582" s="230"/>
      <c r="G582" s="81"/>
      <c r="H582" s="230"/>
      <c r="I582" s="559" t="s">
        <v>1175</v>
      </c>
      <c r="J582" s="80">
        <v>100</v>
      </c>
      <c r="K582" s="81"/>
      <c r="L582" s="230"/>
      <c r="M582" s="83" t="s">
        <v>486</v>
      </c>
      <c r="N582" s="80">
        <v>22</v>
      </c>
      <c r="O582" s="79">
        <v>2</v>
      </c>
      <c r="P582" s="80" t="s">
        <v>1173</v>
      </c>
      <c r="Q582" s="79"/>
      <c r="R582" s="550" t="s">
        <v>488</v>
      </c>
      <c r="S582" s="72">
        <f t="shared" si="36"/>
        <v>7</v>
      </c>
      <c r="T582" s="72">
        <f t="shared" si="33"/>
        <v>2</v>
      </c>
      <c r="U582" s="72">
        <f t="shared" si="34"/>
        <v>1</v>
      </c>
      <c r="V582" s="86">
        <f t="shared" si="35"/>
        <v>0</v>
      </c>
    </row>
    <row r="583" spans="1:22" s="46" customFormat="1" ht="18" customHeight="1" thickBot="1" x14ac:dyDescent="0.3">
      <c r="A583" s="743"/>
      <c r="B583" s="756"/>
      <c r="C583" s="746"/>
      <c r="D583" s="750"/>
      <c r="E583" s="234"/>
      <c r="F583" s="234"/>
      <c r="G583" s="210"/>
      <c r="H583" s="234"/>
      <c r="I583" s="649" t="s">
        <v>81</v>
      </c>
      <c r="J583" s="209">
        <v>400</v>
      </c>
      <c r="K583" s="210"/>
      <c r="L583" s="234"/>
      <c r="M583" s="320" t="s">
        <v>486</v>
      </c>
      <c r="N583" s="209">
        <v>288</v>
      </c>
      <c r="O583" s="208">
        <v>14</v>
      </c>
      <c r="P583" s="209" t="s">
        <v>1176</v>
      </c>
      <c r="Q583" s="335" t="s">
        <v>1177</v>
      </c>
      <c r="R583" s="567" t="s">
        <v>488</v>
      </c>
      <c r="S583" s="72">
        <f t="shared" si="36"/>
        <v>96</v>
      </c>
      <c r="T583" s="72">
        <f t="shared" si="33"/>
        <v>32</v>
      </c>
      <c r="U583" s="72">
        <f t="shared" si="34"/>
        <v>5</v>
      </c>
      <c r="V583" s="86">
        <f t="shared" si="35"/>
        <v>2</v>
      </c>
    </row>
    <row r="584" spans="1:22" s="46" customFormat="1" ht="18" customHeight="1" thickBot="1" x14ac:dyDescent="0.3">
      <c r="A584" s="743"/>
      <c r="B584" s="756"/>
      <c r="C584" s="56" t="s">
        <v>1178</v>
      </c>
      <c r="D584" s="53"/>
      <c r="E584" s="355"/>
      <c r="F584" s="355"/>
      <c r="G584" s="452"/>
      <c r="H584" s="355"/>
      <c r="I584" s="650" t="s">
        <v>1179</v>
      </c>
      <c r="J584" s="651">
        <v>160</v>
      </c>
      <c r="K584" s="352"/>
      <c r="L584" s="349"/>
      <c r="M584" s="350" t="s">
        <v>486</v>
      </c>
      <c r="N584" s="348">
        <v>0</v>
      </c>
      <c r="O584" s="347">
        <v>1</v>
      </c>
      <c r="P584" s="348" t="s">
        <v>804</v>
      </c>
      <c r="Q584" s="347" t="s">
        <v>1180</v>
      </c>
      <c r="R584" s="351" t="s">
        <v>1181</v>
      </c>
      <c r="S584" s="72">
        <f t="shared" si="36"/>
        <v>0</v>
      </c>
      <c r="T584" s="72">
        <f t="shared" si="33"/>
        <v>0</v>
      </c>
      <c r="U584" s="244">
        <v>1</v>
      </c>
      <c r="V584" s="188">
        <v>1</v>
      </c>
    </row>
    <row r="585" spans="1:22" s="46" customFormat="1" ht="18" customHeight="1" thickBot="1" x14ac:dyDescent="0.3">
      <c r="A585" s="743"/>
      <c r="B585" s="756"/>
      <c r="C585" s="356" t="s">
        <v>1182</v>
      </c>
      <c r="D585" s="322"/>
      <c r="E585" s="492"/>
      <c r="F585" s="492"/>
      <c r="G585" s="241"/>
      <c r="H585" s="492"/>
      <c r="I585" s="652" t="s">
        <v>1183</v>
      </c>
      <c r="J585" s="653">
        <v>160</v>
      </c>
      <c r="K585" s="241"/>
      <c r="L585" s="492"/>
      <c r="M585" s="212" t="s">
        <v>486</v>
      </c>
      <c r="N585" s="356">
        <v>0</v>
      </c>
      <c r="O585" s="335">
        <v>2</v>
      </c>
      <c r="P585" s="356" t="s">
        <v>1184</v>
      </c>
      <c r="Q585" s="241"/>
      <c r="R585" s="654" t="s">
        <v>488</v>
      </c>
      <c r="S585" s="72">
        <f t="shared" si="36"/>
        <v>0</v>
      </c>
      <c r="T585" s="72">
        <f t="shared" si="33"/>
        <v>0</v>
      </c>
      <c r="U585" s="189">
        <v>2</v>
      </c>
      <c r="V585" s="297">
        <v>2</v>
      </c>
    </row>
    <row r="586" spans="1:22" s="46" customFormat="1" ht="18" customHeight="1" thickBot="1" x14ac:dyDescent="0.3">
      <c r="A586" s="743"/>
      <c r="B586" s="757"/>
      <c r="C586" s="57" t="s">
        <v>1185</v>
      </c>
      <c r="D586" s="53"/>
      <c r="E586" s="355"/>
      <c r="F586" s="355"/>
      <c r="G586" s="452"/>
      <c r="H586" s="355"/>
      <c r="I586" s="650" t="s">
        <v>1186</v>
      </c>
      <c r="J586" s="348">
        <v>400</v>
      </c>
      <c r="K586" s="352"/>
      <c r="L586" s="349"/>
      <c r="M586" s="350" t="s">
        <v>486</v>
      </c>
      <c r="N586" s="655"/>
      <c r="O586" s="656"/>
      <c r="P586" s="348" t="s">
        <v>1187</v>
      </c>
      <c r="Q586" s="347" t="s">
        <v>1188</v>
      </c>
      <c r="R586" s="351" t="s">
        <v>1189</v>
      </c>
      <c r="S586" s="72">
        <f t="shared" si="36"/>
        <v>0</v>
      </c>
      <c r="T586" s="72">
        <f t="shared" ref="T586:T649" si="37">ROUND(S586/3,0)</f>
        <v>0</v>
      </c>
      <c r="U586" s="96">
        <v>0</v>
      </c>
      <c r="V586" s="97">
        <v>0</v>
      </c>
    </row>
    <row r="587" spans="1:22" s="46" customFormat="1" ht="18" customHeight="1" thickBot="1" x14ac:dyDescent="0.3">
      <c r="A587" s="742" t="s">
        <v>1190</v>
      </c>
      <c r="B587" s="755" t="s">
        <v>484</v>
      </c>
      <c r="C587" s="356" t="s">
        <v>1191</v>
      </c>
      <c r="D587" s="322"/>
      <c r="E587" s="492"/>
      <c r="F587" s="492"/>
      <c r="G587" s="241"/>
      <c r="H587" s="492"/>
      <c r="I587" s="652" t="s">
        <v>1192</v>
      </c>
      <c r="J587" s="653">
        <v>750</v>
      </c>
      <c r="K587" s="657">
        <v>750</v>
      </c>
      <c r="L587" s="492"/>
      <c r="M587" s="212" t="s">
        <v>486</v>
      </c>
      <c r="N587" s="360"/>
      <c r="O587" s="361"/>
      <c r="P587" s="356" t="s">
        <v>1193</v>
      </c>
      <c r="Q587" s="241"/>
      <c r="R587" s="654" t="s">
        <v>488</v>
      </c>
      <c r="S587" s="72">
        <f t="shared" si="36"/>
        <v>0</v>
      </c>
      <c r="T587" s="72">
        <f t="shared" si="37"/>
        <v>0</v>
      </c>
      <c r="U587" s="96">
        <v>0</v>
      </c>
      <c r="V587" s="97">
        <v>0</v>
      </c>
    </row>
    <row r="588" spans="1:22" s="46" customFormat="1" ht="18" customHeight="1" thickBot="1" x14ac:dyDescent="0.3">
      <c r="A588" s="743"/>
      <c r="B588" s="756"/>
      <c r="C588" s="56" t="s">
        <v>1194</v>
      </c>
      <c r="D588" s="53"/>
      <c r="E588" s="355"/>
      <c r="F588" s="355"/>
      <c r="G588" s="452"/>
      <c r="H588" s="355"/>
      <c r="I588" s="658" t="s">
        <v>1195</v>
      </c>
      <c r="J588" s="493"/>
      <c r="K588" s="452"/>
      <c r="L588" s="355"/>
      <c r="M588" s="58" t="s">
        <v>486</v>
      </c>
      <c r="N588" s="655"/>
      <c r="O588" s="656"/>
      <c r="P588" s="56" t="s">
        <v>1196</v>
      </c>
      <c r="Q588" s="452"/>
      <c r="R588" s="53"/>
      <c r="S588" s="72">
        <f t="shared" si="36"/>
        <v>0</v>
      </c>
      <c r="T588" s="72">
        <f t="shared" si="37"/>
        <v>0</v>
      </c>
      <c r="U588" s="96">
        <v>0</v>
      </c>
      <c r="V588" s="97">
        <v>0</v>
      </c>
    </row>
    <row r="589" spans="1:22" s="46" customFormat="1" ht="18" customHeight="1" x14ac:dyDescent="0.25">
      <c r="A589" s="743"/>
      <c r="B589" s="756"/>
      <c r="C589" s="746" t="s">
        <v>1191</v>
      </c>
      <c r="D589" s="750"/>
      <c r="E589" s="292"/>
      <c r="F589" s="292"/>
      <c r="G589" s="151"/>
      <c r="H589" s="292"/>
      <c r="I589" s="149" t="s">
        <v>1197</v>
      </c>
      <c r="J589" s="150">
        <v>250</v>
      </c>
      <c r="K589" s="151"/>
      <c r="L589" s="292"/>
      <c r="M589" s="83" t="s">
        <v>486</v>
      </c>
      <c r="N589" s="150">
        <v>269</v>
      </c>
      <c r="O589" s="149">
        <v>28</v>
      </c>
      <c r="P589" s="150" t="s">
        <v>912</v>
      </c>
      <c r="Q589" s="241"/>
      <c r="R589" s="123" t="s">
        <v>488</v>
      </c>
      <c r="S589" s="72">
        <f t="shared" si="36"/>
        <v>90</v>
      </c>
      <c r="T589" s="72">
        <f t="shared" si="37"/>
        <v>30</v>
      </c>
      <c r="U589" s="72">
        <f t="shared" ref="U589:U648" si="38">ROUND(O589/3,0)</f>
        <v>9</v>
      </c>
      <c r="V589" s="86">
        <f t="shared" ref="V589:V648" si="39">ROUND(U589/3,0)</f>
        <v>3</v>
      </c>
    </row>
    <row r="590" spans="1:22" s="46" customFormat="1" ht="18" customHeight="1" x14ac:dyDescent="0.25">
      <c r="A590" s="743"/>
      <c r="B590" s="756"/>
      <c r="C590" s="746"/>
      <c r="D590" s="750"/>
      <c r="E590" s="230"/>
      <c r="F590" s="230"/>
      <c r="G590" s="81"/>
      <c r="H590" s="230"/>
      <c r="I590" s="79" t="s">
        <v>1198</v>
      </c>
      <c r="J590" s="80">
        <v>160</v>
      </c>
      <c r="K590" s="81"/>
      <c r="L590" s="230"/>
      <c r="M590" s="83" t="s">
        <v>486</v>
      </c>
      <c r="N590" s="80">
        <v>190</v>
      </c>
      <c r="O590" s="79">
        <v>1</v>
      </c>
      <c r="P590" s="80" t="s">
        <v>1199</v>
      </c>
      <c r="Q590" s="81"/>
      <c r="R590" s="85" t="s">
        <v>488</v>
      </c>
      <c r="S590" s="72">
        <f t="shared" si="36"/>
        <v>63</v>
      </c>
      <c r="T590" s="72">
        <f t="shared" si="37"/>
        <v>21</v>
      </c>
      <c r="U590" s="72">
        <f t="shared" si="38"/>
        <v>0</v>
      </c>
      <c r="V590" s="86">
        <f t="shared" si="39"/>
        <v>0</v>
      </c>
    </row>
    <row r="591" spans="1:22" s="46" customFormat="1" ht="18" customHeight="1" x14ac:dyDescent="0.25">
      <c r="A591" s="743"/>
      <c r="B591" s="756"/>
      <c r="C591" s="746"/>
      <c r="D591" s="750"/>
      <c r="E591" s="230"/>
      <c r="F591" s="230"/>
      <c r="G591" s="81"/>
      <c r="H591" s="230"/>
      <c r="I591" s="79" t="s">
        <v>1200</v>
      </c>
      <c r="J591" s="80">
        <v>250</v>
      </c>
      <c r="K591" s="81"/>
      <c r="L591" s="230"/>
      <c r="M591" s="83" t="s">
        <v>486</v>
      </c>
      <c r="N591" s="80">
        <v>183</v>
      </c>
      <c r="O591" s="79">
        <v>1</v>
      </c>
      <c r="P591" s="80" t="s">
        <v>1201</v>
      </c>
      <c r="Q591" s="81"/>
      <c r="R591" s="85" t="s">
        <v>488</v>
      </c>
      <c r="S591" s="72">
        <f t="shared" si="36"/>
        <v>61</v>
      </c>
      <c r="T591" s="72">
        <f t="shared" si="37"/>
        <v>20</v>
      </c>
      <c r="U591" s="72">
        <f t="shared" si="38"/>
        <v>0</v>
      </c>
      <c r="V591" s="86">
        <f t="shared" si="39"/>
        <v>0</v>
      </c>
    </row>
    <row r="592" spans="1:22" s="46" customFormat="1" ht="18" customHeight="1" x14ac:dyDescent="0.25">
      <c r="A592" s="743"/>
      <c r="B592" s="756"/>
      <c r="C592" s="746"/>
      <c r="D592" s="750"/>
      <c r="E592" s="230"/>
      <c r="F592" s="230"/>
      <c r="G592" s="81"/>
      <c r="H592" s="230"/>
      <c r="I592" s="79" t="s">
        <v>1202</v>
      </c>
      <c r="J592" s="80">
        <v>250</v>
      </c>
      <c r="K592" s="81"/>
      <c r="L592" s="230"/>
      <c r="M592" s="83" t="s">
        <v>486</v>
      </c>
      <c r="N592" s="80">
        <v>273</v>
      </c>
      <c r="O592" s="79">
        <v>6</v>
      </c>
      <c r="P592" s="80" t="s">
        <v>912</v>
      </c>
      <c r="Q592" s="81"/>
      <c r="R592" s="85" t="s">
        <v>488</v>
      </c>
      <c r="S592" s="72">
        <f t="shared" si="36"/>
        <v>91</v>
      </c>
      <c r="T592" s="72">
        <f t="shared" si="37"/>
        <v>30</v>
      </c>
      <c r="U592" s="72">
        <f t="shared" si="38"/>
        <v>2</v>
      </c>
      <c r="V592" s="86">
        <f t="shared" si="39"/>
        <v>1</v>
      </c>
    </row>
    <row r="593" spans="1:22" s="46" customFormat="1" ht="18" customHeight="1" x14ac:dyDescent="0.25">
      <c r="A593" s="743"/>
      <c r="B593" s="756"/>
      <c r="C593" s="746"/>
      <c r="D593" s="750"/>
      <c r="E593" s="230"/>
      <c r="F593" s="230"/>
      <c r="G593" s="81"/>
      <c r="H593" s="230"/>
      <c r="I593" s="88" t="s">
        <v>1203</v>
      </c>
      <c r="J593" s="89">
        <v>63</v>
      </c>
      <c r="K593" s="90"/>
      <c r="L593" s="229"/>
      <c r="M593" s="92" t="s">
        <v>486</v>
      </c>
      <c r="N593" s="89">
        <v>0</v>
      </c>
      <c r="O593" s="88">
        <v>1</v>
      </c>
      <c r="P593" s="89" t="s">
        <v>912</v>
      </c>
      <c r="Q593" s="88" t="s">
        <v>1204</v>
      </c>
      <c r="R593" s="95" t="s">
        <v>1205</v>
      </c>
      <c r="S593" s="72">
        <f t="shared" si="36"/>
        <v>0</v>
      </c>
      <c r="T593" s="72">
        <f t="shared" si="37"/>
        <v>0</v>
      </c>
      <c r="U593" s="244">
        <v>1</v>
      </c>
      <c r="V593" s="188">
        <v>1</v>
      </c>
    </row>
    <row r="594" spans="1:22" s="46" customFormat="1" ht="18" customHeight="1" x14ac:dyDescent="0.25">
      <c r="A594" s="743"/>
      <c r="B594" s="756"/>
      <c r="C594" s="746"/>
      <c r="D594" s="750"/>
      <c r="E594" s="230"/>
      <c r="F594" s="230"/>
      <c r="G594" s="81"/>
      <c r="H594" s="230"/>
      <c r="I594" s="88" t="s">
        <v>275</v>
      </c>
      <c r="J594" s="89">
        <v>100</v>
      </c>
      <c r="K594" s="90"/>
      <c r="L594" s="229"/>
      <c r="M594" s="92" t="s">
        <v>486</v>
      </c>
      <c r="N594" s="89">
        <v>0</v>
      </c>
      <c r="O594" s="88">
        <v>1</v>
      </c>
      <c r="P594" s="89" t="s">
        <v>912</v>
      </c>
      <c r="Q594" s="90"/>
      <c r="R594" s="95" t="s">
        <v>1206</v>
      </c>
      <c r="S594" s="72">
        <f t="shared" si="36"/>
        <v>0</v>
      </c>
      <c r="T594" s="72">
        <f t="shared" si="37"/>
        <v>0</v>
      </c>
      <c r="U594" s="244">
        <v>1</v>
      </c>
      <c r="V594" s="188">
        <v>1</v>
      </c>
    </row>
    <row r="595" spans="1:22" s="46" customFormat="1" ht="18" customHeight="1" x14ac:dyDescent="0.25">
      <c r="A595" s="743"/>
      <c r="B595" s="756"/>
      <c r="C595" s="746"/>
      <c r="D595" s="750"/>
      <c r="E595" s="230"/>
      <c r="F595" s="230"/>
      <c r="G595" s="81"/>
      <c r="H595" s="230"/>
      <c r="I595" s="79" t="s">
        <v>1207</v>
      </c>
      <c r="J595" s="80">
        <v>160</v>
      </c>
      <c r="K595" s="81"/>
      <c r="L595" s="230"/>
      <c r="M595" s="83" t="s">
        <v>486</v>
      </c>
      <c r="N595" s="80">
        <v>104</v>
      </c>
      <c r="O595" s="79">
        <v>12</v>
      </c>
      <c r="P595" s="80" t="s">
        <v>912</v>
      </c>
      <c r="Q595" s="81"/>
      <c r="R595" s="85" t="s">
        <v>488</v>
      </c>
      <c r="S595" s="72">
        <f t="shared" si="36"/>
        <v>35</v>
      </c>
      <c r="T595" s="72">
        <f t="shared" si="37"/>
        <v>12</v>
      </c>
      <c r="U595" s="72">
        <f t="shared" si="38"/>
        <v>4</v>
      </c>
      <c r="V595" s="86">
        <f t="shared" si="39"/>
        <v>1</v>
      </c>
    </row>
    <row r="596" spans="1:22" s="46" customFormat="1" ht="18" customHeight="1" x14ac:dyDescent="0.25">
      <c r="A596" s="743"/>
      <c r="B596" s="756"/>
      <c r="C596" s="746"/>
      <c r="D596" s="750"/>
      <c r="E596" s="230"/>
      <c r="F596" s="230"/>
      <c r="G596" s="81"/>
      <c r="H596" s="230"/>
      <c r="I596" s="88" t="s">
        <v>1208</v>
      </c>
      <c r="J596" s="89">
        <v>40</v>
      </c>
      <c r="K596" s="90"/>
      <c r="L596" s="229"/>
      <c r="M596" s="92" t="s">
        <v>486</v>
      </c>
      <c r="N596" s="89">
        <v>0</v>
      </c>
      <c r="O596" s="88">
        <v>1</v>
      </c>
      <c r="P596" s="89" t="s">
        <v>1209</v>
      </c>
      <c r="Q596" s="88" t="s">
        <v>947</v>
      </c>
      <c r="R596" s="95" t="s">
        <v>251</v>
      </c>
      <c r="S596" s="72">
        <f t="shared" si="36"/>
        <v>0</v>
      </c>
      <c r="T596" s="72">
        <f t="shared" si="37"/>
        <v>0</v>
      </c>
      <c r="U596" s="244">
        <v>1</v>
      </c>
      <c r="V596" s="188">
        <v>1</v>
      </c>
    </row>
    <row r="597" spans="1:22" ht="18" customHeight="1" x14ac:dyDescent="0.25">
      <c r="A597" s="743"/>
      <c r="B597" s="756"/>
      <c r="C597" s="746"/>
      <c r="D597" s="750"/>
      <c r="E597" s="230"/>
      <c r="F597" s="230"/>
      <c r="G597" s="81"/>
      <c r="H597" s="230"/>
      <c r="I597" s="79" t="s">
        <v>1210</v>
      </c>
      <c r="J597" s="80">
        <v>100</v>
      </c>
      <c r="K597" s="81"/>
      <c r="L597" s="230"/>
      <c r="M597" s="83" t="s">
        <v>486</v>
      </c>
      <c r="N597" s="80">
        <v>49</v>
      </c>
      <c r="O597" s="79">
        <v>0</v>
      </c>
      <c r="P597" s="80" t="s">
        <v>1209</v>
      </c>
      <c r="Q597" s="81"/>
      <c r="R597" s="85" t="s">
        <v>488</v>
      </c>
      <c r="S597" s="72">
        <f t="shared" si="36"/>
        <v>16</v>
      </c>
      <c r="T597" s="72">
        <f t="shared" si="37"/>
        <v>5</v>
      </c>
      <c r="U597" s="72">
        <f t="shared" si="38"/>
        <v>0</v>
      </c>
      <c r="V597" s="86">
        <f t="shared" si="39"/>
        <v>0</v>
      </c>
    </row>
    <row r="598" spans="1:22" ht="18" customHeight="1" thickBot="1" x14ac:dyDescent="0.3">
      <c r="A598" s="743"/>
      <c r="B598" s="756"/>
      <c r="C598" s="746"/>
      <c r="D598" s="750"/>
      <c r="E598" s="230"/>
      <c r="F598" s="230"/>
      <c r="G598" s="81"/>
      <c r="H598" s="234"/>
      <c r="I598" s="659" t="s">
        <v>1211</v>
      </c>
      <c r="J598" s="660">
        <v>160</v>
      </c>
      <c r="K598" s="661"/>
      <c r="L598" s="662"/>
      <c r="M598" s="663" t="s">
        <v>486</v>
      </c>
      <c r="N598" s="664"/>
      <c r="O598" s="665"/>
      <c r="P598" s="660"/>
      <c r="Q598" s="661"/>
      <c r="R598" s="666" t="s">
        <v>488</v>
      </c>
      <c r="S598" s="72">
        <f t="shared" ref="S598:S661" si="40">ROUND(N598/3,0)</f>
        <v>0</v>
      </c>
      <c r="T598" s="72">
        <f t="shared" si="37"/>
        <v>0</v>
      </c>
      <c r="U598" s="96">
        <v>0</v>
      </c>
      <c r="V598" s="97">
        <v>0</v>
      </c>
    </row>
    <row r="599" spans="1:22" ht="18" customHeight="1" x14ac:dyDescent="0.25">
      <c r="A599" s="743"/>
      <c r="B599" s="756"/>
      <c r="C599" s="746"/>
      <c r="D599" s="750"/>
      <c r="E599" s="230"/>
      <c r="F599" s="230"/>
      <c r="G599" s="81"/>
      <c r="H599" s="745" t="s">
        <v>1212</v>
      </c>
      <c r="I599" s="262" t="s">
        <v>1213</v>
      </c>
      <c r="J599" s="263">
        <v>40</v>
      </c>
      <c r="K599" s="264"/>
      <c r="L599" s="265"/>
      <c r="M599" s="266" t="s">
        <v>486</v>
      </c>
      <c r="N599" s="263">
        <v>0</v>
      </c>
      <c r="O599" s="262">
        <v>1</v>
      </c>
      <c r="P599" s="263" t="s">
        <v>1214</v>
      </c>
      <c r="Q599" s="262" t="s">
        <v>1215</v>
      </c>
      <c r="R599" s="269" t="s">
        <v>1216</v>
      </c>
      <c r="S599" s="72">
        <f t="shared" si="40"/>
        <v>0</v>
      </c>
      <c r="T599" s="72">
        <f t="shared" si="37"/>
        <v>0</v>
      </c>
      <c r="U599" s="244">
        <v>1</v>
      </c>
      <c r="V599" s="188">
        <v>1</v>
      </c>
    </row>
    <row r="600" spans="1:22" ht="18" customHeight="1" x14ac:dyDescent="0.25">
      <c r="A600" s="743"/>
      <c r="B600" s="756"/>
      <c r="C600" s="746"/>
      <c r="D600" s="750"/>
      <c r="E600" s="230"/>
      <c r="F600" s="230"/>
      <c r="G600" s="81"/>
      <c r="H600" s="746"/>
      <c r="I600" s="88" t="s">
        <v>1217</v>
      </c>
      <c r="J600" s="89">
        <v>160</v>
      </c>
      <c r="K600" s="90"/>
      <c r="L600" s="229"/>
      <c r="M600" s="92" t="s">
        <v>486</v>
      </c>
      <c r="N600" s="89">
        <v>0</v>
      </c>
      <c r="O600" s="88">
        <v>1</v>
      </c>
      <c r="P600" s="89" t="s">
        <v>1218</v>
      </c>
      <c r="Q600" s="88" t="s">
        <v>573</v>
      </c>
      <c r="R600" s="95" t="s">
        <v>1219</v>
      </c>
      <c r="S600" s="72">
        <f t="shared" si="40"/>
        <v>0</v>
      </c>
      <c r="T600" s="72">
        <f t="shared" si="37"/>
        <v>0</v>
      </c>
      <c r="U600" s="244">
        <v>1</v>
      </c>
      <c r="V600" s="188">
        <v>1</v>
      </c>
    </row>
    <row r="601" spans="1:22" ht="18" customHeight="1" x14ac:dyDescent="0.25">
      <c r="A601" s="743"/>
      <c r="B601" s="756"/>
      <c r="C601" s="746"/>
      <c r="D601" s="750"/>
      <c r="E601" s="230"/>
      <c r="F601" s="230"/>
      <c r="G601" s="81"/>
      <c r="H601" s="746"/>
      <c r="I601" s="79" t="s">
        <v>1220</v>
      </c>
      <c r="J601" s="80">
        <v>250</v>
      </c>
      <c r="K601" s="81"/>
      <c r="L601" s="230"/>
      <c r="M601" s="83" t="s">
        <v>486</v>
      </c>
      <c r="N601" s="80">
        <v>283</v>
      </c>
      <c r="O601" s="79">
        <v>16</v>
      </c>
      <c r="P601" s="80" t="s">
        <v>912</v>
      </c>
      <c r="Q601" s="81"/>
      <c r="R601" s="85" t="s">
        <v>488</v>
      </c>
      <c r="S601" s="72">
        <f t="shared" si="40"/>
        <v>94</v>
      </c>
      <c r="T601" s="72">
        <f t="shared" si="37"/>
        <v>31</v>
      </c>
      <c r="U601" s="72">
        <f t="shared" si="38"/>
        <v>5</v>
      </c>
      <c r="V601" s="86">
        <f t="shared" si="39"/>
        <v>2</v>
      </c>
    </row>
    <row r="602" spans="1:22" ht="18" customHeight="1" thickBot="1" x14ac:dyDescent="0.3">
      <c r="A602" s="743"/>
      <c r="B602" s="756"/>
      <c r="C602" s="746"/>
      <c r="D602" s="750"/>
      <c r="E602" s="230"/>
      <c r="F602" s="230"/>
      <c r="G602" s="81"/>
      <c r="H602" s="746"/>
      <c r="I602" s="79" t="s">
        <v>1221</v>
      </c>
      <c r="J602" s="80">
        <v>250</v>
      </c>
      <c r="K602" s="81"/>
      <c r="L602" s="230"/>
      <c r="M602" s="83" t="s">
        <v>486</v>
      </c>
      <c r="N602" s="80">
        <v>206</v>
      </c>
      <c r="O602" s="79">
        <v>3</v>
      </c>
      <c r="P602" s="80" t="s">
        <v>1222</v>
      </c>
      <c r="Q602" s="81"/>
      <c r="R602" s="85" t="s">
        <v>488</v>
      </c>
      <c r="S602" s="72">
        <f t="shared" si="40"/>
        <v>69</v>
      </c>
      <c r="T602" s="72">
        <f t="shared" si="37"/>
        <v>23</v>
      </c>
      <c r="U602" s="72">
        <f t="shared" si="38"/>
        <v>1</v>
      </c>
      <c r="V602" s="86">
        <f t="shared" si="39"/>
        <v>0</v>
      </c>
    </row>
    <row r="603" spans="1:22" ht="18" customHeight="1" x14ac:dyDescent="0.25">
      <c r="A603" s="743"/>
      <c r="B603" s="756"/>
      <c r="C603" s="745" t="s">
        <v>1194</v>
      </c>
      <c r="D603" s="749"/>
      <c r="E603" s="243"/>
      <c r="F603" s="243"/>
      <c r="G603" s="178"/>
      <c r="H603" s="243"/>
      <c r="I603" s="67" t="s">
        <v>1223</v>
      </c>
      <c r="J603" s="68">
        <v>100</v>
      </c>
      <c r="K603" s="178"/>
      <c r="L603" s="243"/>
      <c r="M603" s="70" t="s">
        <v>486</v>
      </c>
      <c r="N603" s="68">
        <v>50</v>
      </c>
      <c r="O603" s="67">
        <v>0</v>
      </c>
      <c r="P603" s="68" t="s">
        <v>1224</v>
      </c>
      <c r="Q603" s="199"/>
      <c r="R603" s="71" t="s">
        <v>488</v>
      </c>
      <c r="S603" s="72">
        <f t="shared" si="40"/>
        <v>17</v>
      </c>
      <c r="T603" s="72">
        <f t="shared" si="37"/>
        <v>6</v>
      </c>
      <c r="U603" s="72">
        <f t="shared" si="38"/>
        <v>0</v>
      </c>
      <c r="V603" s="86">
        <f t="shared" si="39"/>
        <v>0</v>
      </c>
    </row>
    <row r="604" spans="1:22" ht="18" customHeight="1" x14ac:dyDescent="0.25">
      <c r="A604" s="743"/>
      <c r="B604" s="756"/>
      <c r="C604" s="746"/>
      <c r="D604" s="750"/>
      <c r="E604" s="230"/>
      <c r="F604" s="230"/>
      <c r="G604" s="81"/>
      <c r="H604" s="230"/>
      <c r="I604" s="79" t="s">
        <v>1225</v>
      </c>
      <c r="J604" s="80">
        <v>250</v>
      </c>
      <c r="K604" s="81"/>
      <c r="L604" s="230"/>
      <c r="M604" s="83" t="s">
        <v>486</v>
      </c>
      <c r="N604" s="80">
        <v>226</v>
      </c>
      <c r="O604" s="79">
        <v>2</v>
      </c>
      <c r="P604" s="80" t="s">
        <v>1226</v>
      </c>
      <c r="Q604" s="81"/>
      <c r="R604" s="85" t="s">
        <v>488</v>
      </c>
      <c r="S604" s="72">
        <f t="shared" si="40"/>
        <v>75</v>
      </c>
      <c r="T604" s="72">
        <f t="shared" si="37"/>
        <v>25</v>
      </c>
      <c r="U604" s="72">
        <f t="shared" si="38"/>
        <v>1</v>
      </c>
      <c r="V604" s="86">
        <f t="shared" si="39"/>
        <v>0</v>
      </c>
    </row>
    <row r="605" spans="1:22" ht="18" customHeight="1" thickBot="1" x14ac:dyDescent="0.3">
      <c r="A605" s="743"/>
      <c r="B605" s="756"/>
      <c r="C605" s="773"/>
      <c r="D605" s="754"/>
      <c r="E605" s="238"/>
      <c r="F605" s="238"/>
      <c r="G605" s="181"/>
      <c r="H605" s="667" t="s">
        <v>490</v>
      </c>
      <c r="I605" s="192" t="s">
        <v>1227</v>
      </c>
      <c r="J605" s="193">
        <v>10</v>
      </c>
      <c r="K605" s="194"/>
      <c r="L605" s="303"/>
      <c r="M605" s="196" t="s">
        <v>486</v>
      </c>
      <c r="N605" s="239"/>
      <c r="O605" s="319"/>
      <c r="P605" s="193" t="s">
        <v>1228</v>
      </c>
      <c r="Q605" s="304" t="s">
        <v>1229</v>
      </c>
      <c r="R605" s="198" t="s">
        <v>1230</v>
      </c>
      <c r="S605" s="72">
        <f t="shared" si="40"/>
        <v>0</v>
      </c>
      <c r="T605" s="72">
        <f t="shared" si="37"/>
        <v>0</v>
      </c>
      <c r="U605" s="96">
        <v>0</v>
      </c>
      <c r="V605" s="97">
        <v>0</v>
      </c>
    </row>
    <row r="606" spans="1:22" ht="18" customHeight="1" x14ac:dyDescent="0.25">
      <c r="A606" s="743"/>
      <c r="B606" s="756"/>
      <c r="C606" s="745" t="s">
        <v>1231</v>
      </c>
      <c r="D606" s="749"/>
      <c r="E606" s="243"/>
      <c r="F606" s="243"/>
      <c r="G606" s="178"/>
      <c r="H606" s="243"/>
      <c r="I606" s="67" t="s">
        <v>1232</v>
      </c>
      <c r="J606" s="68">
        <v>63</v>
      </c>
      <c r="K606" s="67">
        <v>250</v>
      </c>
      <c r="L606" s="243"/>
      <c r="M606" s="70" t="s">
        <v>486</v>
      </c>
      <c r="N606" s="68">
        <v>49</v>
      </c>
      <c r="O606" s="67">
        <v>3</v>
      </c>
      <c r="P606" s="68" t="s">
        <v>1233</v>
      </c>
      <c r="Q606" s="406" t="s">
        <v>826</v>
      </c>
      <c r="R606" s="71" t="s">
        <v>488</v>
      </c>
      <c r="S606" s="72">
        <f t="shared" si="40"/>
        <v>16</v>
      </c>
      <c r="T606" s="72">
        <f t="shared" si="37"/>
        <v>5</v>
      </c>
      <c r="U606" s="72">
        <f t="shared" si="38"/>
        <v>1</v>
      </c>
      <c r="V606" s="86">
        <f t="shared" si="39"/>
        <v>0</v>
      </c>
    </row>
    <row r="607" spans="1:22" ht="18" customHeight="1" x14ac:dyDescent="0.25">
      <c r="A607" s="743"/>
      <c r="B607" s="756"/>
      <c r="C607" s="746"/>
      <c r="D607" s="750"/>
      <c r="E607" s="230"/>
      <c r="F607" s="230"/>
      <c r="G607" s="81"/>
      <c r="H607" s="230"/>
      <c r="I607" s="668" t="s">
        <v>1234</v>
      </c>
      <c r="J607" s="669">
        <v>4</v>
      </c>
      <c r="K607" s="668"/>
      <c r="L607" s="670"/>
      <c r="M607" s="671" t="s">
        <v>486</v>
      </c>
      <c r="N607" s="93"/>
      <c r="O607" s="668">
        <v>1</v>
      </c>
      <c r="P607" s="669" t="s">
        <v>1228</v>
      </c>
      <c r="Q607" s="668"/>
      <c r="R607" s="672" t="s">
        <v>488</v>
      </c>
      <c r="S607" s="72">
        <f t="shared" si="40"/>
        <v>0</v>
      </c>
      <c r="T607" s="72">
        <f t="shared" si="37"/>
        <v>0</v>
      </c>
      <c r="U607" s="673">
        <v>1</v>
      </c>
      <c r="V607" s="674">
        <v>1</v>
      </c>
    </row>
    <row r="608" spans="1:22" ht="18" customHeight="1" x14ac:dyDescent="0.25">
      <c r="A608" s="743"/>
      <c r="B608" s="756"/>
      <c r="C608" s="746"/>
      <c r="D608" s="750"/>
      <c r="E608" s="230"/>
      <c r="F608" s="230"/>
      <c r="G608" s="81"/>
      <c r="H608" s="230"/>
      <c r="I608" s="88" t="s">
        <v>1235</v>
      </c>
      <c r="J608" s="89">
        <v>1.5</v>
      </c>
      <c r="K608" s="90"/>
      <c r="L608" s="229"/>
      <c r="M608" s="92" t="s">
        <v>486</v>
      </c>
      <c r="N608" s="89">
        <v>0</v>
      </c>
      <c r="O608" s="88">
        <v>1</v>
      </c>
      <c r="P608" s="89" t="s">
        <v>1236</v>
      </c>
      <c r="Q608" s="88" t="s">
        <v>567</v>
      </c>
      <c r="R608" s="95" t="s">
        <v>1237</v>
      </c>
      <c r="S608" s="72">
        <f t="shared" si="40"/>
        <v>0</v>
      </c>
      <c r="T608" s="72">
        <f t="shared" si="37"/>
        <v>0</v>
      </c>
      <c r="U608" s="244">
        <v>1</v>
      </c>
      <c r="V608" s="188">
        <v>1</v>
      </c>
    </row>
    <row r="609" spans="1:22" ht="18" customHeight="1" x14ac:dyDescent="0.25">
      <c r="A609" s="743"/>
      <c r="B609" s="756"/>
      <c r="C609" s="746"/>
      <c r="D609" s="750"/>
      <c r="E609" s="230"/>
      <c r="F609" s="230"/>
      <c r="G609" s="81"/>
      <c r="H609" s="230"/>
      <c r="I609" s="88" t="s">
        <v>1238</v>
      </c>
      <c r="J609" s="89">
        <v>40</v>
      </c>
      <c r="K609" s="90"/>
      <c r="L609" s="229"/>
      <c r="M609" s="92" t="s">
        <v>486</v>
      </c>
      <c r="N609" s="89">
        <v>0</v>
      </c>
      <c r="O609" s="88">
        <v>1</v>
      </c>
      <c r="P609" s="89" t="s">
        <v>1233</v>
      </c>
      <c r="Q609" s="88" t="s">
        <v>571</v>
      </c>
      <c r="R609" s="95" t="s">
        <v>1239</v>
      </c>
      <c r="S609" s="72">
        <f t="shared" si="40"/>
        <v>0</v>
      </c>
      <c r="T609" s="72">
        <f t="shared" si="37"/>
        <v>0</v>
      </c>
      <c r="U609" s="244">
        <v>1</v>
      </c>
      <c r="V609" s="188">
        <v>1</v>
      </c>
    </row>
    <row r="610" spans="1:22" ht="18" customHeight="1" thickBot="1" x14ac:dyDescent="0.3">
      <c r="A610" s="743"/>
      <c r="B610" s="756"/>
      <c r="C610" s="746"/>
      <c r="D610" s="750"/>
      <c r="E610" s="230"/>
      <c r="F610" s="230"/>
      <c r="G610" s="81"/>
      <c r="H610" s="230"/>
      <c r="I610" s="432" t="s">
        <v>1240</v>
      </c>
      <c r="J610" s="251">
        <v>50</v>
      </c>
      <c r="K610" s="433"/>
      <c r="L610" s="434"/>
      <c r="M610" s="379"/>
      <c r="N610" s="93"/>
      <c r="O610" s="94"/>
      <c r="P610" s="180" t="s">
        <v>1236</v>
      </c>
      <c r="Q610" s="432"/>
      <c r="R610" s="184" t="s">
        <v>488</v>
      </c>
      <c r="S610" s="72">
        <f t="shared" si="40"/>
        <v>0</v>
      </c>
      <c r="T610" s="72">
        <f t="shared" si="37"/>
        <v>0</v>
      </c>
      <c r="U610" s="96">
        <v>0</v>
      </c>
      <c r="V610" s="97">
        <v>0</v>
      </c>
    </row>
    <row r="611" spans="1:22" ht="18" customHeight="1" thickBot="1" x14ac:dyDescent="0.3">
      <c r="A611" s="743"/>
      <c r="B611" s="756"/>
      <c r="C611" s="746"/>
      <c r="D611" s="750"/>
      <c r="E611" s="230"/>
      <c r="F611" s="230"/>
      <c r="G611" s="81"/>
      <c r="H611" s="230"/>
      <c r="I611" s="179" t="s">
        <v>1241</v>
      </c>
      <c r="J611" s="180">
        <v>400</v>
      </c>
      <c r="K611" s="179">
        <v>250</v>
      </c>
      <c r="L611" s="238"/>
      <c r="M611" s="183" t="s">
        <v>486</v>
      </c>
      <c r="N611" s="180">
        <v>0</v>
      </c>
      <c r="O611" s="179">
        <v>1</v>
      </c>
      <c r="P611" s="180" t="s">
        <v>1236</v>
      </c>
      <c r="Q611" s="402" t="s">
        <v>1242</v>
      </c>
      <c r="R611" s="184" t="s">
        <v>488</v>
      </c>
      <c r="S611" s="72">
        <f t="shared" si="40"/>
        <v>0</v>
      </c>
      <c r="T611" s="72">
        <f t="shared" si="37"/>
        <v>0</v>
      </c>
      <c r="U611" s="189">
        <v>1</v>
      </c>
      <c r="V611" s="297">
        <v>1</v>
      </c>
    </row>
    <row r="612" spans="1:22" ht="18" customHeight="1" x14ac:dyDescent="0.25">
      <c r="A612" s="743"/>
      <c r="B612" s="756"/>
      <c r="C612" s="746"/>
      <c r="D612" s="750"/>
      <c r="E612" s="230"/>
      <c r="F612" s="230"/>
      <c r="G612" s="81"/>
      <c r="H612" s="230"/>
      <c r="I612" s="88" t="s">
        <v>1243</v>
      </c>
      <c r="J612" s="89">
        <v>1.5</v>
      </c>
      <c r="K612" s="90"/>
      <c r="L612" s="229"/>
      <c r="M612" s="92" t="s">
        <v>486</v>
      </c>
      <c r="N612" s="89">
        <v>0</v>
      </c>
      <c r="O612" s="88">
        <v>1</v>
      </c>
      <c r="P612" s="89" t="s">
        <v>1236</v>
      </c>
      <c r="Q612" s="90" t="s">
        <v>1144</v>
      </c>
      <c r="R612" s="95" t="s">
        <v>1244</v>
      </c>
      <c r="S612" s="72">
        <f t="shared" si="40"/>
        <v>0</v>
      </c>
      <c r="T612" s="72">
        <f t="shared" si="37"/>
        <v>0</v>
      </c>
      <c r="U612" s="244">
        <v>1</v>
      </c>
      <c r="V612" s="188">
        <v>1</v>
      </c>
    </row>
    <row r="613" spans="1:22" ht="18" customHeight="1" x14ac:dyDescent="0.25">
      <c r="A613" s="743"/>
      <c r="B613" s="756"/>
      <c r="C613" s="746"/>
      <c r="D613" s="750"/>
      <c r="E613" s="230"/>
      <c r="F613" s="230"/>
      <c r="G613" s="81"/>
      <c r="H613" s="230"/>
      <c r="I613" s="79" t="s">
        <v>1245</v>
      </c>
      <c r="J613" s="80">
        <v>25</v>
      </c>
      <c r="K613" s="81"/>
      <c r="L613" s="230"/>
      <c r="M613" s="83" t="s">
        <v>486</v>
      </c>
      <c r="N613" s="80">
        <v>0</v>
      </c>
      <c r="O613" s="79">
        <v>3</v>
      </c>
      <c r="P613" s="80" t="s">
        <v>1236</v>
      </c>
      <c r="Q613" s="79" t="s">
        <v>1246</v>
      </c>
      <c r="R613" s="85" t="s">
        <v>488</v>
      </c>
      <c r="S613" s="72">
        <f t="shared" si="40"/>
        <v>0</v>
      </c>
      <c r="T613" s="72">
        <f t="shared" si="37"/>
        <v>0</v>
      </c>
      <c r="U613" s="189">
        <v>3</v>
      </c>
      <c r="V613" s="297">
        <v>3</v>
      </c>
    </row>
    <row r="614" spans="1:22" ht="18" customHeight="1" x14ac:dyDescent="0.25">
      <c r="A614" s="743"/>
      <c r="B614" s="756"/>
      <c r="C614" s="746"/>
      <c r="D614" s="750"/>
      <c r="E614" s="230"/>
      <c r="F614" s="230"/>
      <c r="G614" s="81"/>
      <c r="H614" s="230"/>
      <c r="I614" s="79" t="s">
        <v>1247</v>
      </c>
      <c r="J614" s="80">
        <v>1000</v>
      </c>
      <c r="K614" s="81"/>
      <c r="L614" s="230"/>
      <c r="M614" s="83" t="s">
        <v>486</v>
      </c>
      <c r="N614" s="93"/>
      <c r="O614" s="94"/>
      <c r="P614" s="80" t="s">
        <v>1236</v>
      </c>
      <c r="Q614" s="79" t="s">
        <v>1246</v>
      </c>
      <c r="R614" s="85" t="s">
        <v>488</v>
      </c>
      <c r="S614" s="72">
        <f t="shared" si="40"/>
        <v>0</v>
      </c>
      <c r="T614" s="72">
        <f t="shared" si="37"/>
        <v>0</v>
      </c>
      <c r="U614" s="96">
        <v>0</v>
      </c>
      <c r="V614" s="97">
        <v>0</v>
      </c>
    </row>
    <row r="615" spans="1:22" ht="18" customHeight="1" x14ac:dyDescent="0.25">
      <c r="A615" s="743"/>
      <c r="B615" s="756"/>
      <c r="C615" s="746"/>
      <c r="D615" s="750"/>
      <c r="E615" s="230"/>
      <c r="F615" s="230"/>
      <c r="G615" s="81"/>
      <c r="H615" s="230"/>
      <c r="I615" s="79" t="s">
        <v>1248</v>
      </c>
      <c r="J615" s="80">
        <v>100</v>
      </c>
      <c r="K615" s="81"/>
      <c r="L615" s="230"/>
      <c r="M615" s="83" t="s">
        <v>486</v>
      </c>
      <c r="N615" s="80">
        <v>91</v>
      </c>
      <c r="O615" s="79">
        <v>1</v>
      </c>
      <c r="P615" s="80" t="s">
        <v>1236</v>
      </c>
      <c r="Q615" s="81"/>
      <c r="R615" s="85" t="s">
        <v>488</v>
      </c>
      <c r="S615" s="72">
        <f t="shared" si="40"/>
        <v>30</v>
      </c>
      <c r="T615" s="72">
        <f t="shared" si="37"/>
        <v>10</v>
      </c>
      <c r="U615" s="72">
        <f t="shared" si="38"/>
        <v>0</v>
      </c>
      <c r="V615" s="86">
        <f t="shared" si="39"/>
        <v>0</v>
      </c>
    </row>
    <row r="616" spans="1:22" ht="18" customHeight="1" x14ac:dyDescent="0.25">
      <c r="A616" s="743"/>
      <c r="B616" s="756"/>
      <c r="C616" s="746"/>
      <c r="D616" s="750"/>
      <c r="E616" s="230"/>
      <c r="F616" s="230"/>
      <c r="G616" s="81"/>
      <c r="H616" s="230"/>
      <c r="I616" s="88" t="s">
        <v>1249</v>
      </c>
      <c r="J616" s="89">
        <v>10</v>
      </c>
      <c r="K616" s="90"/>
      <c r="L616" s="229"/>
      <c r="M616" s="92" t="s">
        <v>486</v>
      </c>
      <c r="N616" s="89">
        <v>0</v>
      </c>
      <c r="O616" s="88">
        <v>1</v>
      </c>
      <c r="P616" s="89" t="s">
        <v>1236</v>
      </c>
      <c r="Q616" s="88" t="s">
        <v>1250</v>
      </c>
      <c r="R616" s="95" t="s">
        <v>865</v>
      </c>
      <c r="S616" s="72">
        <f t="shared" si="40"/>
        <v>0</v>
      </c>
      <c r="T616" s="72">
        <f t="shared" si="37"/>
        <v>0</v>
      </c>
      <c r="U616" s="244">
        <v>1</v>
      </c>
      <c r="V616" s="188">
        <v>1</v>
      </c>
    </row>
    <row r="617" spans="1:22" ht="18" customHeight="1" x14ac:dyDescent="0.25">
      <c r="A617" s="743"/>
      <c r="B617" s="756"/>
      <c r="C617" s="746"/>
      <c r="D617" s="750"/>
      <c r="E617" s="230"/>
      <c r="F617" s="230"/>
      <c r="G617" s="81"/>
      <c r="H617" s="230"/>
      <c r="I617" s="79" t="s">
        <v>1251</v>
      </c>
      <c r="J617" s="80">
        <v>40</v>
      </c>
      <c r="K617" s="81"/>
      <c r="L617" s="230"/>
      <c r="M617" s="83" t="s">
        <v>486</v>
      </c>
      <c r="N617" s="80">
        <v>0</v>
      </c>
      <c r="O617" s="79">
        <v>2</v>
      </c>
      <c r="P617" s="80" t="s">
        <v>1236</v>
      </c>
      <c r="Q617" s="79" t="s">
        <v>1252</v>
      </c>
      <c r="R617" s="85" t="s">
        <v>488</v>
      </c>
      <c r="S617" s="72">
        <f t="shared" si="40"/>
        <v>0</v>
      </c>
      <c r="T617" s="72">
        <f t="shared" si="37"/>
        <v>0</v>
      </c>
      <c r="U617" s="189">
        <v>2</v>
      </c>
      <c r="V617" s="297">
        <v>2</v>
      </c>
    </row>
    <row r="618" spans="1:22" ht="18" customHeight="1" x14ac:dyDescent="0.25">
      <c r="A618" s="743"/>
      <c r="B618" s="756"/>
      <c r="C618" s="746"/>
      <c r="D618" s="750"/>
      <c r="E618" s="230"/>
      <c r="F618" s="230"/>
      <c r="G618" s="81"/>
      <c r="H618" s="230"/>
      <c r="I618" s="79" t="s">
        <v>1253</v>
      </c>
      <c r="J618" s="80">
        <v>630</v>
      </c>
      <c r="K618" s="81"/>
      <c r="L618" s="230"/>
      <c r="M618" s="83" t="s">
        <v>486</v>
      </c>
      <c r="N618" s="93"/>
      <c r="O618" s="94"/>
      <c r="P618" s="80" t="s">
        <v>1236</v>
      </c>
      <c r="Q618" s="79" t="s">
        <v>1252</v>
      </c>
      <c r="R618" s="85" t="s">
        <v>488</v>
      </c>
      <c r="S618" s="72">
        <f t="shared" si="40"/>
        <v>0</v>
      </c>
      <c r="T618" s="72">
        <f t="shared" si="37"/>
        <v>0</v>
      </c>
      <c r="U618" s="96">
        <v>0</v>
      </c>
      <c r="V618" s="97">
        <v>0</v>
      </c>
    </row>
    <row r="619" spans="1:22" ht="18" customHeight="1" thickBot="1" x14ac:dyDescent="0.3">
      <c r="A619" s="743"/>
      <c r="B619" s="756"/>
      <c r="C619" s="773"/>
      <c r="D619" s="754"/>
      <c r="E619" s="238"/>
      <c r="F619" s="238"/>
      <c r="G619" s="181"/>
      <c r="H619" s="238"/>
      <c r="I619" s="179" t="s">
        <v>1254</v>
      </c>
      <c r="J619" s="180">
        <v>100</v>
      </c>
      <c r="K619" s="181"/>
      <c r="L619" s="238"/>
      <c r="M619" s="215" t="s">
        <v>486</v>
      </c>
      <c r="N619" s="180">
        <v>102</v>
      </c>
      <c r="O619" s="179">
        <v>7</v>
      </c>
      <c r="P619" s="180" t="s">
        <v>1236</v>
      </c>
      <c r="Q619" s="181"/>
      <c r="R619" s="184" t="s">
        <v>488</v>
      </c>
      <c r="S619" s="72">
        <f t="shared" si="40"/>
        <v>34</v>
      </c>
      <c r="T619" s="72">
        <f t="shared" si="37"/>
        <v>11</v>
      </c>
      <c r="U619" s="72">
        <f t="shared" si="38"/>
        <v>2</v>
      </c>
      <c r="V619" s="86">
        <f t="shared" si="39"/>
        <v>1</v>
      </c>
    </row>
    <row r="620" spans="1:22" ht="18" customHeight="1" x14ac:dyDescent="0.25">
      <c r="A620" s="743"/>
      <c r="B620" s="756"/>
      <c r="C620" s="740" t="s">
        <v>1255</v>
      </c>
      <c r="D620" s="731"/>
      <c r="E620" s="675"/>
      <c r="F620" s="292"/>
      <c r="G620" s="151"/>
      <c r="H620" s="292"/>
      <c r="I620" s="676" t="s">
        <v>1256</v>
      </c>
      <c r="J620" s="677">
        <v>10</v>
      </c>
      <c r="K620" s="221"/>
      <c r="L620" s="222"/>
      <c r="M620" s="92" t="s">
        <v>486</v>
      </c>
      <c r="N620" s="220">
        <v>1</v>
      </c>
      <c r="O620" s="219">
        <v>0</v>
      </c>
      <c r="P620" s="220" t="s">
        <v>1257</v>
      </c>
      <c r="Q620" s="225" t="s">
        <v>1258</v>
      </c>
      <c r="R620" s="226" t="s">
        <v>1259</v>
      </c>
      <c r="S620" s="72">
        <f t="shared" si="40"/>
        <v>0</v>
      </c>
      <c r="T620" s="72">
        <f t="shared" si="37"/>
        <v>0</v>
      </c>
      <c r="U620" s="72">
        <f t="shared" si="38"/>
        <v>0</v>
      </c>
      <c r="V620" s="86">
        <f t="shared" si="39"/>
        <v>0</v>
      </c>
    </row>
    <row r="621" spans="1:22" ht="18" customHeight="1" x14ac:dyDescent="0.25">
      <c r="A621" s="743"/>
      <c r="B621" s="756"/>
      <c r="C621" s="740"/>
      <c r="D621" s="731"/>
      <c r="E621" s="608"/>
      <c r="F621" s="230"/>
      <c r="G621" s="81"/>
      <c r="H621" s="230"/>
      <c r="I621" s="622" t="s">
        <v>1260</v>
      </c>
      <c r="J621" s="91">
        <v>10</v>
      </c>
      <c r="K621" s="90"/>
      <c r="L621" s="229"/>
      <c r="M621" s="92" t="s">
        <v>486</v>
      </c>
      <c r="N621" s="89">
        <v>0</v>
      </c>
      <c r="O621" s="88">
        <v>1</v>
      </c>
      <c r="P621" s="89" t="s">
        <v>1257</v>
      </c>
      <c r="Q621" s="88" t="s">
        <v>1250</v>
      </c>
      <c r="R621" s="95" t="s">
        <v>1261</v>
      </c>
      <c r="S621" s="72">
        <f t="shared" si="40"/>
        <v>0</v>
      </c>
      <c r="T621" s="72">
        <f t="shared" si="37"/>
        <v>0</v>
      </c>
      <c r="U621" s="244">
        <v>1</v>
      </c>
      <c r="V621" s="188">
        <v>1</v>
      </c>
    </row>
    <row r="622" spans="1:22" ht="18" customHeight="1" x14ac:dyDescent="0.25">
      <c r="A622" s="743"/>
      <c r="B622" s="756"/>
      <c r="C622" s="740"/>
      <c r="D622" s="731"/>
      <c r="E622" s="608"/>
      <c r="F622" s="230"/>
      <c r="G622" s="81"/>
      <c r="H622" s="230"/>
      <c r="I622" s="622" t="s">
        <v>1262</v>
      </c>
      <c r="J622" s="91">
        <v>25</v>
      </c>
      <c r="K622" s="90"/>
      <c r="L622" s="229"/>
      <c r="M622" s="92" t="s">
        <v>486</v>
      </c>
      <c r="N622" s="89">
        <v>0</v>
      </c>
      <c r="O622" s="88">
        <v>1</v>
      </c>
      <c r="P622" s="89" t="s">
        <v>1257</v>
      </c>
      <c r="Q622" s="88" t="s">
        <v>1263</v>
      </c>
      <c r="R622" s="95" t="s">
        <v>279</v>
      </c>
      <c r="S622" s="72">
        <f t="shared" si="40"/>
        <v>0</v>
      </c>
      <c r="T622" s="72">
        <f t="shared" si="37"/>
        <v>0</v>
      </c>
      <c r="U622" s="244">
        <v>1</v>
      </c>
      <c r="V622" s="188">
        <v>1</v>
      </c>
    </row>
    <row r="623" spans="1:22" ht="18" customHeight="1" x14ac:dyDescent="0.25">
      <c r="A623" s="743"/>
      <c r="B623" s="756"/>
      <c r="C623" s="740"/>
      <c r="D623" s="731"/>
      <c r="E623" s="608"/>
      <c r="F623" s="230"/>
      <c r="G623" s="81"/>
      <c r="H623" s="230"/>
      <c r="I623" s="622" t="s">
        <v>1264</v>
      </c>
      <c r="J623" s="91">
        <v>40</v>
      </c>
      <c r="K623" s="90"/>
      <c r="L623" s="229"/>
      <c r="M623" s="92" t="s">
        <v>486</v>
      </c>
      <c r="N623" s="89">
        <v>0</v>
      </c>
      <c r="O623" s="88">
        <v>1</v>
      </c>
      <c r="P623" s="89" t="s">
        <v>1265</v>
      </c>
      <c r="Q623" s="90"/>
      <c r="R623" s="95" t="s">
        <v>1266</v>
      </c>
      <c r="S623" s="72">
        <f t="shared" si="40"/>
        <v>0</v>
      </c>
      <c r="T623" s="72">
        <f t="shared" si="37"/>
        <v>0</v>
      </c>
      <c r="U623" s="244">
        <v>1</v>
      </c>
      <c r="V623" s="188">
        <v>1</v>
      </c>
    </row>
    <row r="624" spans="1:22" ht="18" customHeight="1" thickBot="1" x14ac:dyDescent="0.3">
      <c r="A624" s="743"/>
      <c r="B624" s="756"/>
      <c r="C624" s="740"/>
      <c r="D624" s="731"/>
      <c r="E624" s="608"/>
      <c r="F624" s="230"/>
      <c r="G624" s="81"/>
      <c r="H624" s="234"/>
      <c r="I624" s="625" t="s">
        <v>1267</v>
      </c>
      <c r="J624" s="104">
        <v>25</v>
      </c>
      <c r="K624" s="103"/>
      <c r="L624" s="281"/>
      <c r="M624" s="105" t="s">
        <v>486</v>
      </c>
      <c r="N624" s="102">
        <v>0</v>
      </c>
      <c r="O624" s="101">
        <v>1</v>
      </c>
      <c r="P624" s="102" t="s">
        <v>1265</v>
      </c>
      <c r="Q624" s="101" t="s">
        <v>1025</v>
      </c>
      <c r="R624" s="282" t="s">
        <v>1268</v>
      </c>
      <c r="S624" s="72">
        <f t="shared" si="40"/>
        <v>0</v>
      </c>
      <c r="T624" s="72">
        <f t="shared" si="37"/>
        <v>0</v>
      </c>
      <c r="U624" s="244">
        <v>1</v>
      </c>
      <c r="V624" s="188">
        <v>1</v>
      </c>
    </row>
    <row r="625" spans="1:22" ht="18" customHeight="1" x14ac:dyDescent="0.25">
      <c r="A625" s="743"/>
      <c r="B625" s="756"/>
      <c r="C625" s="740"/>
      <c r="D625" s="731"/>
      <c r="E625" s="608"/>
      <c r="F625" s="230"/>
      <c r="G625" s="81"/>
      <c r="H625" s="745" t="s">
        <v>1269</v>
      </c>
      <c r="I625" s="611" t="s">
        <v>1270</v>
      </c>
      <c r="J625" s="628">
        <v>40</v>
      </c>
      <c r="K625" s="264"/>
      <c r="L625" s="265"/>
      <c r="M625" s="266" t="s">
        <v>486</v>
      </c>
      <c r="N625" s="263">
        <v>0</v>
      </c>
      <c r="O625" s="262">
        <v>1</v>
      </c>
      <c r="P625" s="263" t="s">
        <v>1265</v>
      </c>
      <c r="Q625" s="262" t="s">
        <v>630</v>
      </c>
      <c r="R625" s="269" t="s">
        <v>1271</v>
      </c>
      <c r="S625" s="72">
        <f t="shared" si="40"/>
        <v>0</v>
      </c>
      <c r="T625" s="72">
        <f t="shared" si="37"/>
        <v>0</v>
      </c>
      <c r="U625" s="244">
        <v>1</v>
      </c>
      <c r="V625" s="188">
        <v>1</v>
      </c>
    </row>
    <row r="626" spans="1:22" ht="18" customHeight="1" x14ac:dyDescent="0.25">
      <c r="A626" s="743"/>
      <c r="B626" s="756"/>
      <c r="C626" s="740"/>
      <c r="D626" s="731"/>
      <c r="E626" s="608"/>
      <c r="F626" s="230"/>
      <c r="G626" s="81"/>
      <c r="H626" s="746"/>
      <c r="I626" s="622" t="s">
        <v>1272</v>
      </c>
      <c r="J626" s="91">
        <v>1.25</v>
      </c>
      <c r="K626" s="90"/>
      <c r="L626" s="229"/>
      <c r="M626" s="92" t="s">
        <v>486</v>
      </c>
      <c r="N626" s="89">
        <v>0</v>
      </c>
      <c r="O626" s="88">
        <v>1</v>
      </c>
      <c r="P626" s="89" t="s">
        <v>1273</v>
      </c>
      <c r="Q626" s="88" t="s">
        <v>1274</v>
      </c>
      <c r="R626" s="95" t="s">
        <v>1275</v>
      </c>
      <c r="S626" s="72">
        <f t="shared" si="40"/>
        <v>0</v>
      </c>
      <c r="T626" s="72">
        <f t="shared" si="37"/>
        <v>0</v>
      </c>
      <c r="U626" s="244">
        <v>1</v>
      </c>
      <c r="V626" s="188">
        <v>1</v>
      </c>
    </row>
    <row r="627" spans="1:22" ht="18" customHeight="1" x14ac:dyDescent="0.25">
      <c r="A627" s="743"/>
      <c r="B627" s="756"/>
      <c r="C627" s="740"/>
      <c r="D627" s="731"/>
      <c r="E627" s="608"/>
      <c r="F627" s="230"/>
      <c r="G627" s="81"/>
      <c r="H627" s="746"/>
      <c r="I627" s="559" t="s">
        <v>1276</v>
      </c>
      <c r="J627" s="560">
        <v>100</v>
      </c>
      <c r="K627" s="81"/>
      <c r="L627" s="230"/>
      <c r="M627" s="83" t="s">
        <v>486</v>
      </c>
      <c r="N627" s="80">
        <v>94</v>
      </c>
      <c r="O627" s="79">
        <v>8</v>
      </c>
      <c r="P627" s="80" t="s">
        <v>1273</v>
      </c>
      <c r="Q627" s="79" t="s">
        <v>530</v>
      </c>
      <c r="R627" s="550" t="s">
        <v>488</v>
      </c>
      <c r="S627" s="72">
        <f t="shared" si="40"/>
        <v>31</v>
      </c>
      <c r="T627" s="72">
        <f t="shared" si="37"/>
        <v>10</v>
      </c>
      <c r="U627" s="72">
        <f t="shared" si="38"/>
        <v>3</v>
      </c>
      <c r="V627" s="86">
        <f t="shared" si="39"/>
        <v>1</v>
      </c>
    </row>
    <row r="628" spans="1:22" ht="18" customHeight="1" x14ac:dyDescent="0.25">
      <c r="A628" s="743"/>
      <c r="B628" s="756"/>
      <c r="C628" s="740"/>
      <c r="D628" s="731"/>
      <c r="E628" s="608"/>
      <c r="F628" s="230"/>
      <c r="G628" s="81"/>
      <c r="H628" s="746"/>
      <c r="I628" s="559" t="s">
        <v>1277</v>
      </c>
      <c r="J628" s="560">
        <v>100</v>
      </c>
      <c r="K628" s="81"/>
      <c r="L628" s="230"/>
      <c r="M628" s="83" t="s">
        <v>486</v>
      </c>
      <c r="N628" s="80">
        <v>65</v>
      </c>
      <c r="O628" s="79">
        <v>3</v>
      </c>
      <c r="P628" s="80" t="s">
        <v>167</v>
      </c>
      <c r="Q628" s="81"/>
      <c r="R628" s="550" t="s">
        <v>488</v>
      </c>
      <c r="S628" s="72">
        <f t="shared" si="40"/>
        <v>22</v>
      </c>
      <c r="T628" s="72">
        <f t="shared" si="37"/>
        <v>7</v>
      </c>
      <c r="U628" s="72">
        <f t="shared" si="38"/>
        <v>1</v>
      </c>
      <c r="V628" s="86">
        <f t="shared" si="39"/>
        <v>0</v>
      </c>
    </row>
    <row r="629" spans="1:22" ht="18" customHeight="1" x14ac:dyDescent="0.25">
      <c r="A629" s="743"/>
      <c r="B629" s="756"/>
      <c r="C629" s="740"/>
      <c r="D629" s="731"/>
      <c r="E629" s="608"/>
      <c r="F629" s="230"/>
      <c r="G629" s="81"/>
      <c r="H629" s="746"/>
      <c r="I629" s="559" t="s">
        <v>1278</v>
      </c>
      <c r="J629" s="560">
        <v>100</v>
      </c>
      <c r="K629" s="81"/>
      <c r="L629" s="230"/>
      <c r="M629" s="83" t="s">
        <v>486</v>
      </c>
      <c r="N629" s="80">
        <v>40</v>
      </c>
      <c r="O629" s="79">
        <v>0</v>
      </c>
      <c r="P629" s="80" t="s">
        <v>167</v>
      </c>
      <c r="Q629" s="81"/>
      <c r="R629" s="550" t="s">
        <v>488</v>
      </c>
      <c r="S629" s="72">
        <f t="shared" si="40"/>
        <v>13</v>
      </c>
      <c r="T629" s="72">
        <f t="shared" si="37"/>
        <v>4</v>
      </c>
      <c r="U629" s="72">
        <f t="shared" si="38"/>
        <v>0</v>
      </c>
      <c r="V629" s="86">
        <f t="shared" si="39"/>
        <v>0</v>
      </c>
    </row>
    <row r="630" spans="1:22" ht="18" customHeight="1" x14ac:dyDescent="0.25">
      <c r="A630" s="743"/>
      <c r="B630" s="756"/>
      <c r="C630" s="740"/>
      <c r="D630" s="731"/>
      <c r="E630" s="608"/>
      <c r="F630" s="230"/>
      <c r="G630" s="81"/>
      <c r="H630" s="746"/>
      <c r="I630" s="559" t="s">
        <v>1279</v>
      </c>
      <c r="J630" s="560">
        <v>100</v>
      </c>
      <c r="K630" s="81"/>
      <c r="L630" s="230"/>
      <c r="M630" s="83" t="s">
        <v>486</v>
      </c>
      <c r="N630" s="80">
        <v>40</v>
      </c>
      <c r="O630" s="79">
        <v>2</v>
      </c>
      <c r="P630" s="80" t="s">
        <v>1273</v>
      </c>
      <c r="Q630" s="81"/>
      <c r="R630" s="550" t="s">
        <v>488</v>
      </c>
      <c r="S630" s="72">
        <f t="shared" si="40"/>
        <v>13</v>
      </c>
      <c r="T630" s="72">
        <f t="shared" si="37"/>
        <v>4</v>
      </c>
      <c r="U630" s="72">
        <f t="shared" si="38"/>
        <v>1</v>
      </c>
      <c r="V630" s="86">
        <f t="shared" si="39"/>
        <v>0</v>
      </c>
    </row>
    <row r="631" spans="1:22" ht="18" customHeight="1" x14ac:dyDescent="0.25">
      <c r="A631" s="743"/>
      <c r="B631" s="756"/>
      <c r="C631" s="740"/>
      <c r="D631" s="731"/>
      <c r="E631" s="608"/>
      <c r="F631" s="230"/>
      <c r="G631" s="81"/>
      <c r="H631" s="746"/>
      <c r="I631" s="559" t="s">
        <v>1280</v>
      </c>
      <c r="J631" s="560">
        <v>100</v>
      </c>
      <c r="K631" s="81"/>
      <c r="L631" s="230"/>
      <c r="M631" s="83" t="s">
        <v>486</v>
      </c>
      <c r="N631" s="80">
        <v>88</v>
      </c>
      <c r="O631" s="79">
        <v>1</v>
      </c>
      <c r="P631" s="80" t="s">
        <v>1273</v>
      </c>
      <c r="Q631" s="81"/>
      <c r="R631" s="550" t="s">
        <v>488</v>
      </c>
      <c r="S631" s="72">
        <f t="shared" si="40"/>
        <v>29</v>
      </c>
      <c r="T631" s="72">
        <f t="shared" si="37"/>
        <v>10</v>
      </c>
      <c r="U631" s="72">
        <f t="shared" si="38"/>
        <v>0</v>
      </c>
      <c r="V631" s="86">
        <f t="shared" si="39"/>
        <v>0</v>
      </c>
    </row>
    <row r="632" spans="1:22" ht="18" customHeight="1" thickBot="1" x14ac:dyDescent="0.3">
      <c r="A632" s="743"/>
      <c r="B632" s="756"/>
      <c r="C632" s="740"/>
      <c r="D632" s="731"/>
      <c r="E632" s="608"/>
      <c r="F632" s="230"/>
      <c r="G632" s="81"/>
      <c r="H632" s="773"/>
      <c r="I632" s="636" t="s">
        <v>1281</v>
      </c>
      <c r="J632" s="637">
        <v>100</v>
      </c>
      <c r="K632" s="181"/>
      <c r="L632" s="238"/>
      <c r="M632" s="215" t="s">
        <v>486</v>
      </c>
      <c r="N632" s="180">
        <v>76</v>
      </c>
      <c r="O632" s="179">
        <v>2</v>
      </c>
      <c r="P632" s="180" t="s">
        <v>1273</v>
      </c>
      <c r="Q632" s="181"/>
      <c r="R632" s="570" t="s">
        <v>488</v>
      </c>
      <c r="S632" s="72">
        <f t="shared" si="40"/>
        <v>25</v>
      </c>
      <c r="T632" s="72">
        <f t="shared" si="37"/>
        <v>8</v>
      </c>
      <c r="U632" s="72">
        <f t="shared" si="38"/>
        <v>1</v>
      </c>
      <c r="V632" s="86">
        <f t="shared" si="39"/>
        <v>0</v>
      </c>
    </row>
    <row r="633" spans="1:22" ht="18" customHeight="1" x14ac:dyDescent="0.25">
      <c r="A633" s="743"/>
      <c r="B633" s="756"/>
      <c r="C633" s="740"/>
      <c r="D633" s="731"/>
      <c r="E633" s="608"/>
      <c r="F633" s="230"/>
      <c r="G633" s="81"/>
      <c r="H633" s="292"/>
      <c r="I633" s="617" t="s">
        <v>1282</v>
      </c>
      <c r="J633" s="618">
        <v>100</v>
      </c>
      <c r="K633" s="151"/>
      <c r="L633" s="292"/>
      <c r="M633" s="83" t="s">
        <v>486</v>
      </c>
      <c r="N633" s="150">
        <v>33</v>
      </c>
      <c r="O633" s="149">
        <v>5</v>
      </c>
      <c r="P633" s="150" t="s">
        <v>1265</v>
      </c>
      <c r="Q633" s="151"/>
      <c r="R633" s="547" t="s">
        <v>488</v>
      </c>
      <c r="S633" s="72">
        <f t="shared" si="40"/>
        <v>11</v>
      </c>
      <c r="T633" s="72">
        <f t="shared" si="37"/>
        <v>4</v>
      </c>
      <c r="U633" s="72">
        <f t="shared" si="38"/>
        <v>2</v>
      </c>
      <c r="V633" s="86">
        <f t="shared" si="39"/>
        <v>1</v>
      </c>
    </row>
    <row r="634" spans="1:22" ht="18" customHeight="1" x14ac:dyDescent="0.25">
      <c r="A634" s="743"/>
      <c r="B634" s="756"/>
      <c r="C634" s="740"/>
      <c r="D634" s="731"/>
      <c r="E634" s="608"/>
      <c r="F634" s="230"/>
      <c r="G634" s="81"/>
      <c r="H634" s="230"/>
      <c r="I634" s="559" t="s">
        <v>1283</v>
      </c>
      <c r="J634" s="560">
        <v>160</v>
      </c>
      <c r="K634" s="81"/>
      <c r="L634" s="230"/>
      <c r="M634" s="83" t="s">
        <v>486</v>
      </c>
      <c r="N634" s="80">
        <v>106</v>
      </c>
      <c r="O634" s="79">
        <v>2</v>
      </c>
      <c r="P634" s="80" t="s">
        <v>1265</v>
      </c>
      <c r="Q634" s="79" t="s">
        <v>525</v>
      </c>
      <c r="R634" s="550" t="s">
        <v>488</v>
      </c>
      <c r="S634" s="72">
        <f t="shared" si="40"/>
        <v>35</v>
      </c>
      <c r="T634" s="72">
        <f t="shared" si="37"/>
        <v>12</v>
      </c>
      <c r="U634" s="72">
        <f t="shared" si="38"/>
        <v>1</v>
      </c>
      <c r="V634" s="86">
        <f t="shared" si="39"/>
        <v>0</v>
      </c>
    </row>
    <row r="635" spans="1:22" ht="18" customHeight="1" x14ac:dyDescent="0.25">
      <c r="A635" s="743"/>
      <c r="B635" s="756"/>
      <c r="C635" s="740"/>
      <c r="D635" s="731"/>
      <c r="E635" s="608"/>
      <c r="F635" s="230"/>
      <c r="G635" s="81"/>
      <c r="H635" s="230"/>
      <c r="I635" s="559" t="s">
        <v>1284</v>
      </c>
      <c r="J635" s="560">
        <v>100</v>
      </c>
      <c r="K635" s="81"/>
      <c r="L635" s="230"/>
      <c r="M635" s="83" t="s">
        <v>486</v>
      </c>
      <c r="N635" s="80">
        <v>136</v>
      </c>
      <c r="O635" s="79">
        <v>7</v>
      </c>
      <c r="P635" s="80" t="s">
        <v>1273</v>
      </c>
      <c r="Q635" s="81"/>
      <c r="R635" s="550" t="s">
        <v>488</v>
      </c>
      <c r="S635" s="72">
        <f t="shared" si="40"/>
        <v>45</v>
      </c>
      <c r="T635" s="72">
        <f t="shared" si="37"/>
        <v>15</v>
      </c>
      <c r="U635" s="72">
        <f t="shared" si="38"/>
        <v>2</v>
      </c>
      <c r="V635" s="86">
        <f t="shared" si="39"/>
        <v>1</v>
      </c>
    </row>
    <row r="636" spans="1:22" ht="18" customHeight="1" x14ac:dyDescent="0.25">
      <c r="A636" s="743"/>
      <c r="B636" s="756"/>
      <c r="C636" s="740"/>
      <c r="D636" s="731"/>
      <c r="E636" s="608"/>
      <c r="F636" s="230"/>
      <c r="G636" s="81"/>
      <c r="H636" s="230"/>
      <c r="I636" s="559" t="s">
        <v>1285</v>
      </c>
      <c r="J636" s="560">
        <v>160</v>
      </c>
      <c r="K636" s="81"/>
      <c r="L636" s="230"/>
      <c r="M636" s="83" t="s">
        <v>486</v>
      </c>
      <c r="N636" s="80">
        <v>151</v>
      </c>
      <c r="O636" s="79">
        <v>13</v>
      </c>
      <c r="P636" s="80" t="s">
        <v>243</v>
      </c>
      <c r="Q636" s="81"/>
      <c r="R636" s="550" t="s">
        <v>488</v>
      </c>
      <c r="S636" s="72">
        <f t="shared" si="40"/>
        <v>50</v>
      </c>
      <c r="T636" s="72">
        <f t="shared" si="37"/>
        <v>17</v>
      </c>
      <c r="U636" s="72">
        <f t="shared" si="38"/>
        <v>4</v>
      </c>
      <c r="V636" s="86">
        <f t="shared" si="39"/>
        <v>1</v>
      </c>
    </row>
    <row r="637" spans="1:22" ht="18" customHeight="1" x14ac:dyDescent="0.25">
      <c r="A637" s="743"/>
      <c r="B637" s="756"/>
      <c r="C637" s="740"/>
      <c r="D637" s="731"/>
      <c r="E637" s="608"/>
      <c r="F637" s="230"/>
      <c r="G637" s="81"/>
      <c r="H637" s="230"/>
      <c r="I637" s="559" t="s">
        <v>1286</v>
      </c>
      <c r="J637" s="560">
        <v>100</v>
      </c>
      <c r="K637" s="81"/>
      <c r="L637" s="230"/>
      <c r="M637" s="83" t="s">
        <v>486</v>
      </c>
      <c r="N637" s="80">
        <v>0</v>
      </c>
      <c r="O637" s="79">
        <v>2</v>
      </c>
      <c r="P637" s="80" t="s">
        <v>243</v>
      </c>
      <c r="Q637" s="79" t="s">
        <v>1287</v>
      </c>
      <c r="R637" s="550" t="s">
        <v>488</v>
      </c>
      <c r="S637" s="72">
        <f t="shared" si="40"/>
        <v>0</v>
      </c>
      <c r="T637" s="72">
        <f t="shared" si="37"/>
        <v>0</v>
      </c>
      <c r="U637" s="189">
        <v>2</v>
      </c>
      <c r="V637" s="297">
        <v>2</v>
      </c>
    </row>
    <row r="638" spans="1:22" ht="18" customHeight="1" x14ac:dyDescent="0.25">
      <c r="A638" s="743"/>
      <c r="B638" s="756"/>
      <c r="C638" s="740"/>
      <c r="D638" s="731"/>
      <c r="E638" s="608"/>
      <c r="F638" s="230"/>
      <c r="G638" s="81"/>
      <c r="H638" s="230"/>
      <c r="I638" s="622" t="s">
        <v>1288</v>
      </c>
      <c r="J638" s="91">
        <v>25</v>
      </c>
      <c r="K638" s="90"/>
      <c r="L638" s="229"/>
      <c r="M638" s="92" t="s">
        <v>486</v>
      </c>
      <c r="N638" s="89">
        <v>0</v>
      </c>
      <c r="O638" s="88">
        <v>1</v>
      </c>
      <c r="P638" s="89" t="s">
        <v>243</v>
      </c>
      <c r="Q638" s="88" t="s">
        <v>973</v>
      </c>
      <c r="R638" s="95" t="s">
        <v>1082</v>
      </c>
      <c r="S638" s="72">
        <f t="shared" si="40"/>
        <v>0</v>
      </c>
      <c r="T638" s="72">
        <f t="shared" si="37"/>
        <v>0</v>
      </c>
      <c r="U638" s="244">
        <v>1</v>
      </c>
      <c r="V638" s="188">
        <v>1</v>
      </c>
    </row>
    <row r="639" spans="1:22" ht="18" customHeight="1" x14ac:dyDescent="0.25">
      <c r="A639" s="743"/>
      <c r="B639" s="756"/>
      <c r="C639" s="740"/>
      <c r="D639" s="731"/>
      <c r="E639" s="608"/>
      <c r="F639" s="230"/>
      <c r="G639" s="81"/>
      <c r="H639" s="230"/>
      <c r="I639" s="559" t="s">
        <v>1289</v>
      </c>
      <c r="J639" s="560">
        <v>100</v>
      </c>
      <c r="K639" s="81"/>
      <c r="L639" s="230"/>
      <c r="M639" s="83" t="s">
        <v>486</v>
      </c>
      <c r="N639" s="93"/>
      <c r="O639" s="94"/>
      <c r="P639" s="80" t="s">
        <v>243</v>
      </c>
      <c r="Q639" s="79" t="s">
        <v>1290</v>
      </c>
      <c r="R639" s="550" t="s">
        <v>488</v>
      </c>
      <c r="S639" s="72">
        <f t="shared" si="40"/>
        <v>0</v>
      </c>
      <c r="T639" s="72">
        <f t="shared" si="37"/>
        <v>0</v>
      </c>
      <c r="U639" s="96">
        <v>0</v>
      </c>
      <c r="V639" s="97">
        <v>0</v>
      </c>
    </row>
    <row r="640" spans="1:22" ht="18" customHeight="1" thickBot="1" x14ac:dyDescent="0.3">
      <c r="A640" s="743"/>
      <c r="B640" s="756"/>
      <c r="C640" s="740"/>
      <c r="D640" s="795"/>
      <c r="E640" s="609"/>
      <c r="F640" s="234"/>
      <c r="G640" s="210"/>
      <c r="H640" s="234"/>
      <c r="I640" s="649" t="s">
        <v>1291</v>
      </c>
      <c r="J640" s="678">
        <v>250</v>
      </c>
      <c r="K640" s="210"/>
      <c r="L640" s="234"/>
      <c r="M640" s="212" t="s">
        <v>486</v>
      </c>
      <c r="N640" s="209">
        <v>98</v>
      </c>
      <c r="O640" s="208">
        <v>6</v>
      </c>
      <c r="P640" s="209" t="s">
        <v>243</v>
      </c>
      <c r="Q640" s="210"/>
      <c r="R640" s="567" t="s">
        <v>488</v>
      </c>
      <c r="S640" s="72">
        <f t="shared" si="40"/>
        <v>33</v>
      </c>
      <c r="T640" s="72">
        <f t="shared" si="37"/>
        <v>11</v>
      </c>
      <c r="U640" s="72">
        <f t="shared" si="38"/>
        <v>2</v>
      </c>
      <c r="V640" s="86">
        <f t="shared" si="39"/>
        <v>1</v>
      </c>
    </row>
    <row r="641" spans="1:22" ht="18" customHeight="1" x14ac:dyDescent="0.25">
      <c r="A641" s="743"/>
      <c r="B641" s="756"/>
      <c r="C641" s="746"/>
      <c r="D641" s="739" t="s">
        <v>1292</v>
      </c>
      <c r="E641" s="243"/>
      <c r="F641" s="243"/>
      <c r="G641" s="178"/>
      <c r="H641" s="243"/>
      <c r="I641" s="634" t="s">
        <v>1293</v>
      </c>
      <c r="J641" s="635">
        <v>160</v>
      </c>
      <c r="K641" s="178"/>
      <c r="L641" s="243"/>
      <c r="M641" s="70" t="s">
        <v>486</v>
      </c>
      <c r="N641" s="68">
        <v>185</v>
      </c>
      <c r="O641" s="67">
        <v>4</v>
      </c>
      <c r="P641" s="68" t="s">
        <v>243</v>
      </c>
      <c r="Q641" s="178"/>
      <c r="R641" s="289" t="s">
        <v>488</v>
      </c>
      <c r="S641" s="72">
        <f t="shared" si="40"/>
        <v>62</v>
      </c>
      <c r="T641" s="72">
        <f t="shared" si="37"/>
        <v>21</v>
      </c>
      <c r="U641" s="72">
        <f t="shared" si="38"/>
        <v>1</v>
      </c>
      <c r="V641" s="86">
        <f t="shared" si="39"/>
        <v>0</v>
      </c>
    </row>
    <row r="642" spans="1:22" ht="18" customHeight="1" x14ac:dyDescent="0.25">
      <c r="A642" s="743"/>
      <c r="B642" s="756"/>
      <c r="C642" s="746"/>
      <c r="D642" s="740"/>
      <c r="E642" s="230"/>
      <c r="F642" s="230"/>
      <c r="G642" s="81"/>
      <c r="H642" s="230"/>
      <c r="I642" s="559" t="s">
        <v>1294</v>
      </c>
      <c r="J642" s="560">
        <v>100</v>
      </c>
      <c r="K642" s="81"/>
      <c r="L642" s="230"/>
      <c r="M642" s="83" t="s">
        <v>486</v>
      </c>
      <c r="N642" s="80">
        <v>9</v>
      </c>
      <c r="O642" s="79">
        <v>3</v>
      </c>
      <c r="P642" s="80" t="s">
        <v>243</v>
      </c>
      <c r="Q642" s="81"/>
      <c r="R642" s="550" t="s">
        <v>488</v>
      </c>
      <c r="S642" s="72">
        <f t="shared" si="40"/>
        <v>3</v>
      </c>
      <c r="T642" s="72">
        <f t="shared" si="37"/>
        <v>1</v>
      </c>
      <c r="U642" s="72">
        <f t="shared" si="38"/>
        <v>1</v>
      </c>
      <c r="V642" s="86">
        <f t="shared" si="39"/>
        <v>0</v>
      </c>
    </row>
    <row r="643" spans="1:22" ht="18" customHeight="1" x14ac:dyDescent="0.25">
      <c r="A643" s="743"/>
      <c r="B643" s="756"/>
      <c r="C643" s="746"/>
      <c r="D643" s="740"/>
      <c r="E643" s="230"/>
      <c r="F643" s="230"/>
      <c r="G643" s="81"/>
      <c r="H643" s="230"/>
      <c r="I643" s="559" t="s">
        <v>1295</v>
      </c>
      <c r="J643" s="560">
        <v>160</v>
      </c>
      <c r="K643" s="81"/>
      <c r="L643" s="230"/>
      <c r="M643" s="83" t="s">
        <v>486</v>
      </c>
      <c r="N643" s="80">
        <v>9</v>
      </c>
      <c r="O643" s="79">
        <v>1</v>
      </c>
      <c r="P643" s="80" t="s">
        <v>243</v>
      </c>
      <c r="Q643" s="81"/>
      <c r="R643" s="550" t="s">
        <v>488</v>
      </c>
      <c r="S643" s="72">
        <f t="shared" si="40"/>
        <v>3</v>
      </c>
      <c r="T643" s="72">
        <f t="shared" si="37"/>
        <v>1</v>
      </c>
      <c r="U643" s="72">
        <f t="shared" si="38"/>
        <v>0</v>
      </c>
      <c r="V643" s="86">
        <f t="shared" si="39"/>
        <v>0</v>
      </c>
    </row>
    <row r="644" spans="1:22" ht="18" customHeight="1" x14ac:dyDescent="0.25">
      <c r="A644" s="743"/>
      <c r="B644" s="756"/>
      <c r="C644" s="746"/>
      <c r="D644" s="740"/>
      <c r="E644" s="230"/>
      <c r="F644" s="230"/>
      <c r="G644" s="81"/>
      <c r="H644" s="230"/>
      <c r="I644" s="559" t="s">
        <v>1296</v>
      </c>
      <c r="J644" s="560">
        <v>250</v>
      </c>
      <c r="K644" s="81"/>
      <c r="L644" s="230"/>
      <c r="M644" s="83" t="s">
        <v>486</v>
      </c>
      <c r="N644" s="80">
        <v>191</v>
      </c>
      <c r="O644" s="79">
        <v>6</v>
      </c>
      <c r="P644" s="80" t="s">
        <v>243</v>
      </c>
      <c r="Q644" s="79" t="s">
        <v>530</v>
      </c>
      <c r="R644" s="550" t="s">
        <v>488</v>
      </c>
      <c r="S644" s="72">
        <f t="shared" si="40"/>
        <v>64</v>
      </c>
      <c r="T644" s="72">
        <f t="shared" si="37"/>
        <v>21</v>
      </c>
      <c r="U644" s="72">
        <f t="shared" si="38"/>
        <v>2</v>
      </c>
      <c r="V644" s="86">
        <f t="shared" si="39"/>
        <v>1</v>
      </c>
    </row>
    <row r="645" spans="1:22" ht="18" customHeight="1" x14ac:dyDescent="0.25">
      <c r="A645" s="743"/>
      <c r="B645" s="756"/>
      <c r="C645" s="746"/>
      <c r="D645" s="740"/>
      <c r="E645" s="230"/>
      <c r="F645" s="230"/>
      <c r="G645" s="81"/>
      <c r="H645" s="230"/>
      <c r="I645" s="622" t="s">
        <v>242</v>
      </c>
      <c r="J645" s="91">
        <v>100</v>
      </c>
      <c r="K645" s="90"/>
      <c r="L645" s="229"/>
      <c r="M645" s="92" t="s">
        <v>486</v>
      </c>
      <c r="N645" s="89">
        <v>0</v>
      </c>
      <c r="O645" s="88">
        <v>1</v>
      </c>
      <c r="P645" s="89" t="s">
        <v>243</v>
      </c>
      <c r="Q645" s="88" t="s">
        <v>1297</v>
      </c>
      <c r="R645" s="95" t="s">
        <v>1298</v>
      </c>
      <c r="S645" s="72">
        <f t="shared" si="40"/>
        <v>0</v>
      </c>
      <c r="T645" s="72">
        <f t="shared" si="37"/>
        <v>0</v>
      </c>
      <c r="U645" s="244">
        <v>1</v>
      </c>
      <c r="V645" s="188">
        <v>1</v>
      </c>
    </row>
    <row r="646" spans="1:22" ht="18" customHeight="1" x14ac:dyDescent="0.25">
      <c r="A646" s="743"/>
      <c r="B646" s="756"/>
      <c r="C646" s="746"/>
      <c r="D646" s="740"/>
      <c r="E646" s="230"/>
      <c r="F646" s="230"/>
      <c r="G646" s="81"/>
      <c r="H646" s="230"/>
      <c r="I646" s="559" t="s">
        <v>1299</v>
      </c>
      <c r="J646" s="560">
        <v>50</v>
      </c>
      <c r="K646" s="81"/>
      <c r="L646" s="230"/>
      <c r="M646" s="83" t="s">
        <v>486</v>
      </c>
      <c r="N646" s="80">
        <v>47</v>
      </c>
      <c r="O646" s="79">
        <v>0</v>
      </c>
      <c r="P646" s="80" t="s">
        <v>243</v>
      </c>
      <c r="Q646" s="81"/>
      <c r="R646" s="550" t="s">
        <v>488</v>
      </c>
      <c r="S646" s="72">
        <f t="shared" si="40"/>
        <v>16</v>
      </c>
      <c r="T646" s="72">
        <f t="shared" si="37"/>
        <v>5</v>
      </c>
      <c r="U646" s="72">
        <f t="shared" si="38"/>
        <v>0</v>
      </c>
      <c r="V646" s="86">
        <f t="shared" si="39"/>
        <v>0</v>
      </c>
    </row>
    <row r="647" spans="1:22" ht="18" customHeight="1" x14ac:dyDescent="0.25">
      <c r="A647" s="743"/>
      <c r="B647" s="756"/>
      <c r="C647" s="746"/>
      <c r="D647" s="740"/>
      <c r="E647" s="230"/>
      <c r="F647" s="230"/>
      <c r="G647" s="81"/>
      <c r="H647" s="230"/>
      <c r="I647" s="559" t="s">
        <v>1300</v>
      </c>
      <c r="J647" s="560">
        <v>160</v>
      </c>
      <c r="K647" s="81"/>
      <c r="L647" s="230"/>
      <c r="M647" s="83" t="s">
        <v>486</v>
      </c>
      <c r="N647" s="80">
        <v>149</v>
      </c>
      <c r="O647" s="79">
        <v>5</v>
      </c>
      <c r="P647" s="80" t="s">
        <v>1301</v>
      </c>
      <c r="Q647" s="79" t="s">
        <v>683</v>
      </c>
      <c r="R647" s="550" t="s">
        <v>488</v>
      </c>
      <c r="S647" s="72">
        <f t="shared" si="40"/>
        <v>50</v>
      </c>
      <c r="T647" s="72">
        <f t="shared" si="37"/>
        <v>17</v>
      </c>
      <c r="U647" s="72">
        <f t="shared" si="38"/>
        <v>2</v>
      </c>
      <c r="V647" s="86">
        <f t="shared" si="39"/>
        <v>1</v>
      </c>
    </row>
    <row r="648" spans="1:22" ht="18" customHeight="1" x14ac:dyDescent="0.25">
      <c r="A648" s="743"/>
      <c r="B648" s="756"/>
      <c r="C648" s="746"/>
      <c r="D648" s="740"/>
      <c r="E648" s="230"/>
      <c r="F648" s="230"/>
      <c r="G648" s="81"/>
      <c r="H648" s="230"/>
      <c r="I648" s="559" t="s">
        <v>1302</v>
      </c>
      <c r="J648" s="560">
        <v>100</v>
      </c>
      <c r="K648" s="81"/>
      <c r="L648" s="230"/>
      <c r="M648" s="83" t="s">
        <v>486</v>
      </c>
      <c r="N648" s="80">
        <v>33</v>
      </c>
      <c r="O648" s="79">
        <v>1</v>
      </c>
      <c r="P648" s="80" t="s">
        <v>1301</v>
      </c>
      <c r="Q648" s="79" t="s">
        <v>683</v>
      </c>
      <c r="R648" s="550" t="s">
        <v>488</v>
      </c>
      <c r="S648" s="72">
        <f t="shared" si="40"/>
        <v>11</v>
      </c>
      <c r="T648" s="72">
        <f t="shared" si="37"/>
        <v>4</v>
      </c>
      <c r="U648" s="72">
        <f t="shared" si="38"/>
        <v>0</v>
      </c>
      <c r="V648" s="86">
        <f t="shared" si="39"/>
        <v>0</v>
      </c>
    </row>
    <row r="649" spans="1:22" ht="18" customHeight="1" x14ac:dyDescent="0.25">
      <c r="A649" s="743"/>
      <c r="B649" s="756"/>
      <c r="C649" s="746"/>
      <c r="D649" s="740"/>
      <c r="E649" s="230"/>
      <c r="F649" s="230"/>
      <c r="G649" s="81"/>
      <c r="H649" s="230"/>
      <c r="I649" s="622" t="s">
        <v>1303</v>
      </c>
      <c r="J649" s="91">
        <v>160</v>
      </c>
      <c r="K649" s="90"/>
      <c r="L649" s="229"/>
      <c r="M649" s="92" t="s">
        <v>486</v>
      </c>
      <c r="N649" s="93"/>
      <c r="O649" s="94"/>
      <c r="P649" s="89" t="s">
        <v>1301</v>
      </c>
      <c r="Q649" s="88" t="s">
        <v>561</v>
      </c>
      <c r="R649" s="95" t="s">
        <v>1304</v>
      </c>
      <c r="S649" s="72">
        <f t="shared" si="40"/>
        <v>0</v>
      </c>
      <c r="T649" s="72">
        <f t="shared" si="37"/>
        <v>0</v>
      </c>
      <c r="U649" s="96">
        <v>0</v>
      </c>
      <c r="V649" s="97">
        <v>0</v>
      </c>
    </row>
    <row r="650" spans="1:22" ht="18" customHeight="1" x14ac:dyDescent="0.25">
      <c r="A650" s="743"/>
      <c r="B650" s="756"/>
      <c r="C650" s="746"/>
      <c r="D650" s="740"/>
      <c r="E650" s="230"/>
      <c r="F650" s="230"/>
      <c r="G650" s="81"/>
      <c r="H650" s="230"/>
      <c r="I650" s="559" t="s">
        <v>1305</v>
      </c>
      <c r="J650" s="560">
        <v>160</v>
      </c>
      <c r="K650" s="81"/>
      <c r="L650" s="230"/>
      <c r="M650" s="83" t="s">
        <v>486</v>
      </c>
      <c r="N650" s="80">
        <v>167</v>
      </c>
      <c r="O650" s="79">
        <v>10</v>
      </c>
      <c r="P650" s="80" t="s">
        <v>1301</v>
      </c>
      <c r="Q650" s="81"/>
      <c r="R650" s="550" t="s">
        <v>488</v>
      </c>
      <c r="S650" s="72">
        <f t="shared" si="40"/>
        <v>56</v>
      </c>
      <c r="T650" s="72">
        <f t="shared" ref="T650:T667" si="41">ROUND(S650/3,0)</f>
        <v>19</v>
      </c>
      <c r="U650" s="72">
        <f t="shared" ref="U650:U667" si="42">ROUND(O650/3,0)</f>
        <v>3</v>
      </c>
      <c r="V650" s="86">
        <f t="shared" ref="V650:V667" si="43">ROUND(U650/3,0)</f>
        <v>1</v>
      </c>
    </row>
    <row r="651" spans="1:22" ht="18" customHeight="1" x14ac:dyDescent="0.25">
      <c r="A651" s="743"/>
      <c r="B651" s="756"/>
      <c r="C651" s="746"/>
      <c r="D651" s="740"/>
      <c r="E651" s="230"/>
      <c r="F651" s="230"/>
      <c r="G651" s="81"/>
      <c r="H651" s="230"/>
      <c r="I651" s="679" t="s">
        <v>1306</v>
      </c>
      <c r="J651" s="680">
        <v>63</v>
      </c>
      <c r="K651" s="341"/>
      <c r="L651" s="342"/>
      <c r="M651" s="681" t="s">
        <v>486</v>
      </c>
      <c r="N651" s="682"/>
      <c r="O651" s="683"/>
      <c r="P651" s="684" t="s">
        <v>1301</v>
      </c>
      <c r="Q651" s="341"/>
      <c r="R651" s="685" t="s">
        <v>488</v>
      </c>
      <c r="S651" s="72">
        <f t="shared" si="40"/>
        <v>0</v>
      </c>
      <c r="T651" s="72">
        <f t="shared" si="41"/>
        <v>0</v>
      </c>
      <c r="U651" s="96">
        <v>0</v>
      </c>
      <c r="V651" s="97">
        <v>0</v>
      </c>
    </row>
    <row r="652" spans="1:22" ht="18" customHeight="1" x14ac:dyDescent="0.25">
      <c r="A652" s="743"/>
      <c r="B652" s="756"/>
      <c r="C652" s="746"/>
      <c r="D652" s="740"/>
      <c r="E652" s="230"/>
      <c r="F652" s="230"/>
      <c r="G652" s="81"/>
      <c r="H652" s="230"/>
      <c r="I652" s="559" t="s">
        <v>1307</v>
      </c>
      <c r="J652" s="560">
        <v>100</v>
      </c>
      <c r="K652" s="81"/>
      <c r="L652" s="230"/>
      <c r="M652" s="83" t="s">
        <v>486</v>
      </c>
      <c r="N652" s="80">
        <v>184</v>
      </c>
      <c r="O652" s="79">
        <v>2</v>
      </c>
      <c r="P652" s="80" t="s">
        <v>1301</v>
      </c>
      <c r="Q652" s="81"/>
      <c r="R652" s="550" t="s">
        <v>488</v>
      </c>
      <c r="S652" s="72">
        <f t="shared" si="40"/>
        <v>61</v>
      </c>
      <c r="T652" s="72">
        <f t="shared" si="41"/>
        <v>20</v>
      </c>
      <c r="U652" s="72">
        <f t="shared" si="42"/>
        <v>1</v>
      </c>
      <c r="V652" s="86">
        <f t="shared" si="43"/>
        <v>0</v>
      </c>
    </row>
    <row r="653" spans="1:22" ht="18" customHeight="1" x14ac:dyDescent="0.25">
      <c r="A653" s="743"/>
      <c r="B653" s="756"/>
      <c r="C653" s="746"/>
      <c r="D653" s="740"/>
      <c r="E653" s="230"/>
      <c r="F653" s="230"/>
      <c r="G653" s="81"/>
      <c r="H653" s="230"/>
      <c r="I653" s="622" t="s">
        <v>1308</v>
      </c>
      <c r="J653" s="91">
        <v>25</v>
      </c>
      <c r="K653" s="90"/>
      <c r="L653" s="229"/>
      <c r="M653" s="92" t="s">
        <v>486</v>
      </c>
      <c r="N653" s="89">
        <v>0</v>
      </c>
      <c r="O653" s="88">
        <v>1</v>
      </c>
      <c r="P653" s="89" t="s">
        <v>1301</v>
      </c>
      <c r="Q653" s="88" t="s">
        <v>639</v>
      </c>
      <c r="R653" s="95" t="s">
        <v>1309</v>
      </c>
      <c r="S653" s="72">
        <f t="shared" si="40"/>
        <v>0</v>
      </c>
      <c r="T653" s="72">
        <f t="shared" si="41"/>
        <v>0</v>
      </c>
      <c r="U653" s="244">
        <v>1</v>
      </c>
      <c r="V653" s="188">
        <v>1</v>
      </c>
    </row>
    <row r="654" spans="1:22" ht="18" customHeight="1" thickBot="1" x14ac:dyDescent="0.3">
      <c r="A654" s="743"/>
      <c r="B654" s="756"/>
      <c r="C654" s="773"/>
      <c r="D654" s="741"/>
      <c r="E654" s="238"/>
      <c r="F654" s="238"/>
      <c r="G654" s="181"/>
      <c r="H654" s="238"/>
      <c r="I654" s="636" t="s">
        <v>1310</v>
      </c>
      <c r="J654" s="637">
        <v>25</v>
      </c>
      <c r="K654" s="181"/>
      <c r="L654" s="238"/>
      <c r="M654" s="183" t="s">
        <v>486</v>
      </c>
      <c r="N654" s="180">
        <v>0</v>
      </c>
      <c r="O654" s="179">
        <v>2</v>
      </c>
      <c r="P654" s="180" t="s">
        <v>1301</v>
      </c>
      <c r="Q654" s="402" t="s">
        <v>1311</v>
      </c>
      <c r="R654" s="570" t="s">
        <v>488</v>
      </c>
      <c r="S654" s="72">
        <f t="shared" si="40"/>
        <v>0</v>
      </c>
      <c r="T654" s="72">
        <f t="shared" si="41"/>
        <v>0</v>
      </c>
      <c r="U654" s="189">
        <v>2</v>
      </c>
      <c r="V654" s="297">
        <v>2</v>
      </c>
    </row>
    <row r="655" spans="1:22" ht="18" customHeight="1" thickBot="1" x14ac:dyDescent="0.3">
      <c r="A655" s="743"/>
      <c r="B655" s="756"/>
      <c r="C655" s="745" t="s">
        <v>1312</v>
      </c>
      <c r="D655" s="739"/>
      <c r="E655" s="243"/>
      <c r="F655" s="243"/>
      <c r="G655" s="178"/>
      <c r="H655" s="243"/>
      <c r="I655" s="79" t="s">
        <v>1313</v>
      </c>
      <c r="J655" s="80">
        <v>63</v>
      </c>
      <c r="K655" s="81"/>
      <c r="L655" s="230"/>
      <c r="M655" s="83" t="s">
        <v>486</v>
      </c>
      <c r="N655" s="80">
        <v>86</v>
      </c>
      <c r="O655" s="79">
        <v>0</v>
      </c>
      <c r="P655" s="80" t="s">
        <v>1314</v>
      </c>
      <c r="Q655" s="81"/>
      <c r="R655" s="85" t="s">
        <v>488</v>
      </c>
      <c r="S655" s="72">
        <f t="shared" si="40"/>
        <v>29</v>
      </c>
      <c r="T655" s="72">
        <f t="shared" si="41"/>
        <v>10</v>
      </c>
      <c r="U655" s="72">
        <f t="shared" si="42"/>
        <v>0</v>
      </c>
      <c r="V655" s="86">
        <f t="shared" si="43"/>
        <v>0</v>
      </c>
    </row>
    <row r="656" spans="1:22" ht="18" customHeight="1" x14ac:dyDescent="0.25">
      <c r="A656" s="743"/>
      <c r="B656" s="756"/>
      <c r="C656" s="746"/>
      <c r="D656" s="740"/>
      <c r="E656" s="292"/>
      <c r="F656" s="292"/>
      <c r="G656" s="151"/>
      <c r="H656" s="292"/>
      <c r="I656" s="611" t="s">
        <v>1315</v>
      </c>
      <c r="J656" s="686">
        <v>100</v>
      </c>
      <c r="K656" s="629"/>
      <c r="L656" s="265"/>
      <c r="M656" s="266"/>
      <c r="N656" s="687"/>
      <c r="O656" s="688"/>
      <c r="P656" s="628"/>
      <c r="Q656" s="301"/>
      <c r="R656" s="630" t="s">
        <v>1316</v>
      </c>
      <c r="S656" s="72">
        <f t="shared" si="40"/>
        <v>0</v>
      </c>
      <c r="T656" s="72">
        <f t="shared" si="41"/>
        <v>0</v>
      </c>
      <c r="U656" s="96">
        <v>0</v>
      </c>
      <c r="V656" s="97">
        <v>0</v>
      </c>
    </row>
    <row r="657" spans="1:22" ht="18" customHeight="1" thickBot="1" x14ac:dyDescent="0.3">
      <c r="A657" s="743"/>
      <c r="B657" s="756"/>
      <c r="C657" s="746"/>
      <c r="D657" s="740"/>
      <c r="E657" s="292"/>
      <c r="F657" s="292"/>
      <c r="G657" s="151"/>
      <c r="H657" s="292"/>
      <c r="I657" s="622" t="s">
        <v>1317</v>
      </c>
      <c r="J657" s="91">
        <v>25</v>
      </c>
      <c r="K657" s="623"/>
      <c r="L657" s="229"/>
      <c r="M657" s="92" t="s">
        <v>486</v>
      </c>
      <c r="N657" s="91">
        <v>0</v>
      </c>
      <c r="O657" s="622">
        <v>1</v>
      </c>
      <c r="P657" s="91" t="s">
        <v>252</v>
      </c>
      <c r="Q657" s="88" t="s">
        <v>639</v>
      </c>
      <c r="R657" s="95" t="s">
        <v>1082</v>
      </c>
      <c r="S657" s="72">
        <f t="shared" si="40"/>
        <v>0</v>
      </c>
      <c r="T657" s="72">
        <f t="shared" si="41"/>
        <v>0</v>
      </c>
      <c r="U657" s="244">
        <v>1</v>
      </c>
      <c r="V657" s="188">
        <v>1</v>
      </c>
    </row>
    <row r="658" spans="1:22" ht="18" customHeight="1" x14ac:dyDescent="0.25">
      <c r="A658" s="743"/>
      <c r="B658" s="756"/>
      <c r="C658" s="746"/>
      <c r="D658" s="740"/>
      <c r="E658" s="292"/>
      <c r="F658" s="292"/>
      <c r="G658" s="151"/>
      <c r="H658" s="292"/>
      <c r="I658" s="611" t="s">
        <v>1318</v>
      </c>
      <c r="J658" s="628">
        <v>63</v>
      </c>
      <c r="K658" s="629"/>
      <c r="L658" s="265"/>
      <c r="M658" s="266" t="s">
        <v>486</v>
      </c>
      <c r="N658" s="628">
        <v>0</v>
      </c>
      <c r="O658" s="611">
        <v>1</v>
      </c>
      <c r="P658" s="628" t="s">
        <v>252</v>
      </c>
      <c r="Q658" s="301" t="s">
        <v>822</v>
      </c>
      <c r="R658" s="630" t="s">
        <v>1319</v>
      </c>
      <c r="S658" s="72">
        <f t="shared" si="40"/>
        <v>0</v>
      </c>
      <c r="T658" s="72">
        <f t="shared" si="41"/>
        <v>0</v>
      </c>
      <c r="U658" s="244">
        <v>1</v>
      </c>
      <c r="V658" s="188">
        <v>1</v>
      </c>
    </row>
    <row r="659" spans="1:22" ht="18" customHeight="1" x14ac:dyDescent="0.25">
      <c r="A659" s="743"/>
      <c r="B659" s="756"/>
      <c r="C659" s="746"/>
      <c r="D659" s="740"/>
      <c r="E659" s="230"/>
      <c r="F659" s="230"/>
      <c r="G659" s="81"/>
      <c r="H659" s="230"/>
      <c r="I659" s="622" t="s">
        <v>1320</v>
      </c>
      <c r="J659" s="91">
        <v>25</v>
      </c>
      <c r="K659" s="623"/>
      <c r="L659" s="229"/>
      <c r="M659" s="92" t="s">
        <v>486</v>
      </c>
      <c r="N659" s="91">
        <v>0</v>
      </c>
      <c r="O659" s="622">
        <v>1</v>
      </c>
      <c r="P659" s="91" t="s">
        <v>1321</v>
      </c>
      <c r="Q659" s="88" t="s">
        <v>715</v>
      </c>
      <c r="R659" s="624" t="s">
        <v>1322</v>
      </c>
      <c r="S659" s="72">
        <f t="shared" si="40"/>
        <v>0</v>
      </c>
      <c r="T659" s="72">
        <f t="shared" si="41"/>
        <v>0</v>
      </c>
      <c r="U659" s="244">
        <v>1</v>
      </c>
      <c r="V659" s="188">
        <v>1</v>
      </c>
    </row>
    <row r="660" spans="1:22" ht="18" customHeight="1" x14ac:dyDescent="0.25">
      <c r="A660" s="743"/>
      <c r="B660" s="756"/>
      <c r="C660" s="746"/>
      <c r="D660" s="740"/>
      <c r="E660" s="230"/>
      <c r="F660" s="230"/>
      <c r="G660" s="81"/>
      <c r="H660" s="230"/>
      <c r="I660" s="325" t="s">
        <v>1323</v>
      </c>
      <c r="J660" s="82">
        <v>160</v>
      </c>
      <c r="K660" s="561"/>
      <c r="L660" s="230"/>
      <c r="M660" s="83" t="s">
        <v>486</v>
      </c>
      <c r="N660" s="82">
        <v>131</v>
      </c>
      <c r="O660" s="325">
        <v>6</v>
      </c>
      <c r="P660" s="82" t="s">
        <v>1321</v>
      </c>
      <c r="Q660" s="79" t="s">
        <v>525</v>
      </c>
      <c r="R660" s="689" t="s">
        <v>488</v>
      </c>
      <c r="S660" s="72">
        <f t="shared" si="40"/>
        <v>44</v>
      </c>
      <c r="T660" s="72">
        <f t="shared" si="41"/>
        <v>15</v>
      </c>
      <c r="U660" s="72">
        <f t="shared" si="42"/>
        <v>2</v>
      </c>
      <c r="V660" s="86">
        <f t="shared" si="43"/>
        <v>1</v>
      </c>
    </row>
    <row r="661" spans="1:22" ht="18" customHeight="1" x14ac:dyDescent="0.25">
      <c r="A661" s="743"/>
      <c r="B661" s="756"/>
      <c r="C661" s="746"/>
      <c r="D661" s="740"/>
      <c r="E661" s="230"/>
      <c r="F661" s="230"/>
      <c r="G661" s="81"/>
      <c r="H661" s="230"/>
      <c r="I661" s="325" t="s">
        <v>1324</v>
      </c>
      <c r="J661" s="82">
        <v>100</v>
      </c>
      <c r="K661" s="561"/>
      <c r="L661" s="230"/>
      <c r="M661" s="83" t="s">
        <v>486</v>
      </c>
      <c r="N661" s="82">
        <v>69</v>
      </c>
      <c r="O661" s="325">
        <v>1</v>
      </c>
      <c r="P661" s="82" t="s">
        <v>1321</v>
      </c>
      <c r="Q661" s="81"/>
      <c r="R661" s="689" t="s">
        <v>488</v>
      </c>
      <c r="S661" s="72">
        <f t="shared" si="40"/>
        <v>23</v>
      </c>
      <c r="T661" s="72">
        <f t="shared" si="41"/>
        <v>8</v>
      </c>
      <c r="U661" s="72">
        <f t="shared" si="42"/>
        <v>0</v>
      </c>
      <c r="V661" s="86">
        <f t="shared" si="43"/>
        <v>0</v>
      </c>
    </row>
    <row r="662" spans="1:22" ht="18" customHeight="1" thickBot="1" x14ac:dyDescent="0.3">
      <c r="A662" s="743"/>
      <c r="B662" s="756"/>
      <c r="C662" s="773"/>
      <c r="D662" s="741"/>
      <c r="E662" s="238"/>
      <c r="F662" s="238"/>
      <c r="G662" s="181"/>
      <c r="H662" s="238"/>
      <c r="I662" s="690" t="s">
        <v>1325</v>
      </c>
      <c r="J662" s="182">
        <v>100</v>
      </c>
      <c r="K662" s="691"/>
      <c r="L662" s="238"/>
      <c r="M662" s="183" t="s">
        <v>486</v>
      </c>
      <c r="N662" s="182">
        <v>71</v>
      </c>
      <c r="O662" s="690">
        <v>1</v>
      </c>
      <c r="P662" s="182" t="s">
        <v>1079</v>
      </c>
      <c r="Q662" s="273"/>
      <c r="R662" s="692" t="s">
        <v>488</v>
      </c>
      <c r="S662" s="72">
        <f t="shared" ref="S662:S667" si="44">ROUND(N662/3,0)</f>
        <v>24</v>
      </c>
      <c r="T662" s="72">
        <f t="shared" si="41"/>
        <v>8</v>
      </c>
      <c r="U662" s="72">
        <f t="shared" si="42"/>
        <v>0</v>
      </c>
      <c r="V662" s="86">
        <f t="shared" si="43"/>
        <v>0</v>
      </c>
    </row>
    <row r="663" spans="1:22" ht="18" customHeight="1" x14ac:dyDescent="0.25">
      <c r="A663" s="743"/>
      <c r="B663" s="756"/>
      <c r="C663" s="745" t="s">
        <v>1326</v>
      </c>
      <c r="D663" s="749"/>
      <c r="E663" s="243"/>
      <c r="F663" s="243"/>
      <c r="G663" s="178"/>
      <c r="H663" s="243"/>
      <c r="I663" s="67" t="s">
        <v>1327</v>
      </c>
      <c r="J663" s="68">
        <v>250</v>
      </c>
      <c r="K663" s="178"/>
      <c r="L663" s="243"/>
      <c r="M663" s="70" t="s">
        <v>486</v>
      </c>
      <c r="N663" s="68">
        <v>147</v>
      </c>
      <c r="O663" s="67">
        <v>4</v>
      </c>
      <c r="P663" s="68" t="s">
        <v>1233</v>
      </c>
      <c r="Q663" s="199"/>
      <c r="R663" s="71" t="s">
        <v>488</v>
      </c>
      <c r="S663" s="72">
        <f t="shared" si="44"/>
        <v>49</v>
      </c>
      <c r="T663" s="72">
        <f t="shared" si="41"/>
        <v>16</v>
      </c>
      <c r="U663" s="72">
        <f t="shared" si="42"/>
        <v>1</v>
      </c>
      <c r="V663" s="86">
        <f t="shared" si="43"/>
        <v>0</v>
      </c>
    </row>
    <row r="664" spans="1:22" ht="18" customHeight="1" x14ac:dyDescent="0.25">
      <c r="A664" s="743"/>
      <c r="B664" s="756"/>
      <c r="C664" s="746"/>
      <c r="D664" s="750"/>
      <c r="E664" s="230"/>
      <c r="F664" s="230"/>
      <c r="G664" s="81"/>
      <c r="H664" s="230"/>
      <c r="I664" s="79" t="s">
        <v>1328</v>
      </c>
      <c r="J664" s="80">
        <v>250</v>
      </c>
      <c r="K664" s="79">
        <v>400</v>
      </c>
      <c r="L664" s="230"/>
      <c r="M664" s="83" t="s">
        <v>486</v>
      </c>
      <c r="N664" s="80">
        <v>147</v>
      </c>
      <c r="O664" s="79">
        <v>2</v>
      </c>
      <c r="P664" s="80" t="s">
        <v>1228</v>
      </c>
      <c r="Q664" s="79" t="s">
        <v>1329</v>
      </c>
      <c r="R664" s="85" t="s">
        <v>488</v>
      </c>
      <c r="S664" s="72">
        <f t="shared" si="44"/>
        <v>49</v>
      </c>
      <c r="T664" s="72">
        <f t="shared" si="41"/>
        <v>16</v>
      </c>
      <c r="U664" s="72">
        <f t="shared" si="42"/>
        <v>1</v>
      </c>
      <c r="V664" s="86">
        <f t="shared" si="43"/>
        <v>0</v>
      </c>
    </row>
    <row r="665" spans="1:22" ht="18" customHeight="1" x14ac:dyDescent="0.25">
      <c r="A665" s="743"/>
      <c r="B665" s="756"/>
      <c r="C665" s="746"/>
      <c r="D665" s="750"/>
      <c r="E665" s="230"/>
      <c r="F665" s="230"/>
      <c r="G665" s="81"/>
      <c r="H665" s="230"/>
      <c r="I665" s="79" t="s">
        <v>1330</v>
      </c>
      <c r="J665" s="80">
        <v>630</v>
      </c>
      <c r="K665" s="79">
        <v>630</v>
      </c>
      <c r="L665" s="230"/>
      <c r="M665" s="83" t="s">
        <v>486</v>
      </c>
      <c r="N665" s="80">
        <v>391</v>
      </c>
      <c r="O665" s="79">
        <v>13</v>
      </c>
      <c r="P665" s="80" t="s">
        <v>810</v>
      </c>
      <c r="Q665" s="79" t="s">
        <v>707</v>
      </c>
      <c r="R665" s="85" t="s">
        <v>488</v>
      </c>
      <c r="S665" s="72">
        <f t="shared" si="44"/>
        <v>130</v>
      </c>
      <c r="T665" s="72">
        <f t="shared" si="41"/>
        <v>43</v>
      </c>
      <c r="U665" s="72">
        <f t="shared" si="42"/>
        <v>4</v>
      </c>
      <c r="V665" s="86">
        <f t="shared" si="43"/>
        <v>1</v>
      </c>
    </row>
    <row r="666" spans="1:22" ht="18" customHeight="1" thickBot="1" x14ac:dyDescent="0.3">
      <c r="A666" s="743"/>
      <c r="B666" s="756"/>
      <c r="C666" s="773"/>
      <c r="D666" s="754"/>
      <c r="E666" s="238"/>
      <c r="F666" s="238"/>
      <c r="G666" s="181"/>
      <c r="H666" s="238"/>
      <c r="I666" s="179" t="s">
        <v>1331</v>
      </c>
      <c r="J666" s="180">
        <v>630</v>
      </c>
      <c r="K666" s="179">
        <v>630</v>
      </c>
      <c r="L666" s="238"/>
      <c r="M666" s="183" t="s">
        <v>486</v>
      </c>
      <c r="N666" s="180">
        <v>103</v>
      </c>
      <c r="O666" s="179">
        <v>6</v>
      </c>
      <c r="P666" s="180" t="s">
        <v>1214</v>
      </c>
      <c r="Q666" s="402" t="s">
        <v>1332</v>
      </c>
      <c r="R666" s="184" t="s">
        <v>488</v>
      </c>
      <c r="S666" s="72">
        <f t="shared" si="44"/>
        <v>34</v>
      </c>
      <c r="T666" s="72">
        <f t="shared" si="41"/>
        <v>11</v>
      </c>
      <c r="U666" s="72">
        <f t="shared" si="42"/>
        <v>2</v>
      </c>
      <c r="V666" s="86">
        <f t="shared" si="43"/>
        <v>1</v>
      </c>
    </row>
    <row r="667" spans="1:22" ht="18" customHeight="1" thickBot="1" x14ac:dyDescent="0.3">
      <c r="A667" s="744"/>
      <c r="B667" s="757"/>
      <c r="C667" s="57" t="s">
        <v>1333</v>
      </c>
      <c r="D667" s="53"/>
      <c r="E667" s="355"/>
      <c r="F667" s="355"/>
      <c r="G667" s="452"/>
      <c r="H667" s="355"/>
      <c r="I667" s="55" t="s">
        <v>1334</v>
      </c>
      <c r="J667" s="56">
        <v>400</v>
      </c>
      <c r="K667" s="55">
        <v>400</v>
      </c>
      <c r="L667" s="355"/>
      <c r="M667" s="58" t="s">
        <v>486</v>
      </c>
      <c r="N667" s="56">
        <v>225</v>
      </c>
      <c r="O667" s="55">
        <v>1</v>
      </c>
      <c r="P667" s="56" t="s">
        <v>1233</v>
      </c>
      <c r="Q667" s="452"/>
      <c r="R667" s="53" t="s">
        <v>488</v>
      </c>
      <c r="S667" s="693">
        <f t="shared" si="44"/>
        <v>75</v>
      </c>
      <c r="T667" s="693">
        <f t="shared" si="41"/>
        <v>25</v>
      </c>
      <c r="U667" s="693">
        <f t="shared" si="42"/>
        <v>0</v>
      </c>
      <c r="V667" s="694">
        <f t="shared" si="43"/>
        <v>0</v>
      </c>
    </row>
  </sheetData>
  <autoFilter ref="A4:R667" xr:uid="{00000000-0009-0000-0000-000006000000}"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3" showButton="0"/>
    <filterColumn colId="15" showButton="0"/>
  </autoFilter>
  <mergeCells count="168">
    <mergeCell ref="H625:H632"/>
    <mergeCell ref="D641:D654"/>
    <mergeCell ref="H566:H572"/>
    <mergeCell ref="H573:H578"/>
    <mergeCell ref="C581:C583"/>
    <mergeCell ref="D581:D583"/>
    <mergeCell ref="A587:A667"/>
    <mergeCell ref="B587:B667"/>
    <mergeCell ref="C589:C602"/>
    <mergeCell ref="D589:D602"/>
    <mergeCell ref="H599:H602"/>
    <mergeCell ref="C603:C605"/>
    <mergeCell ref="C655:C662"/>
    <mergeCell ref="D655:D662"/>
    <mergeCell ref="C663:C666"/>
    <mergeCell ref="D663:D666"/>
    <mergeCell ref="D603:D605"/>
    <mergeCell ref="C606:C619"/>
    <mergeCell ref="D606:D619"/>
    <mergeCell ref="C620:C654"/>
    <mergeCell ref="D620:D640"/>
    <mergeCell ref="A561:A586"/>
    <mergeCell ref="B561:B586"/>
    <mergeCell ref="C561:C578"/>
    <mergeCell ref="D561:D578"/>
    <mergeCell ref="D487:D488"/>
    <mergeCell ref="C489:C493"/>
    <mergeCell ref="D489:D493"/>
    <mergeCell ref="A494:A560"/>
    <mergeCell ref="B494:B560"/>
    <mergeCell ref="C494:C505"/>
    <mergeCell ref="D494:D505"/>
    <mergeCell ref="C507:C560"/>
    <mergeCell ref="D516:D517"/>
    <mergeCell ref="D518:D560"/>
    <mergeCell ref="A473:A493"/>
    <mergeCell ref="B473:B493"/>
    <mergeCell ref="C473:C476"/>
    <mergeCell ref="D473:D476"/>
    <mergeCell ref="C477:C486"/>
    <mergeCell ref="D477:D486"/>
    <mergeCell ref="C487:C488"/>
    <mergeCell ref="E539:E560"/>
    <mergeCell ref="F547:F553"/>
    <mergeCell ref="B392:B472"/>
    <mergeCell ref="C392:D421"/>
    <mergeCell ref="H414:H421"/>
    <mergeCell ref="C422:C452"/>
    <mergeCell ref="D422:D446"/>
    <mergeCell ref="H438:H441"/>
    <mergeCell ref="D447:D452"/>
    <mergeCell ref="C453:C472"/>
    <mergeCell ref="D453:D472"/>
    <mergeCell ref="H463:H466"/>
    <mergeCell ref="C361:C372"/>
    <mergeCell ref="D361:D372"/>
    <mergeCell ref="G365:G372"/>
    <mergeCell ref="H367:H372"/>
    <mergeCell ref="C374:C376"/>
    <mergeCell ref="A381:A472"/>
    <mergeCell ref="B381:B391"/>
    <mergeCell ref="C381:C385"/>
    <mergeCell ref="D381:D385"/>
    <mergeCell ref="C386:C388"/>
    <mergeCell ref="B296:B380"/>
    <mergeCell ref="A254:A380"/>
    <mergeCell ref="B254:B295"/>
    <mergeCell ref="C256:C257"/>
    <mergeCell ref="D256:D257"/>
    <mergeCell ref="C260:C264"/>
    <mergeCell ref="D260:D264"/>
    <mergeCell ref="C265:C278"/>
    <mergeCell ref="D265:D278"/>
    <mergeCell ref="C281:C286"/>
    <mergeCell ref="D281:D286"/>
    <mergeCell ref="D386:D388"/>
    <mergeCell ref="C389:C391"/>
    <mergeCell ref="D389:D391"/>
    <mergeCell ref="H309:H314"/>
    <mergeCell ref="H316:H331"/>
    <mergeCell ref="C332:C359"/>
    <mergeCell ref="D332:D359"/>
    <mergeCell ref="H335:H337"/>
    <mergeCell ref="H339:H343"/>
    <mergeCell ref="H344:H349"/>
    <mergeCell ref="H350:H355"/>
    <mergeCell ref="C287:C295"/>
    <mergeCell ref="D287:D295"/>
    <mergeCell ref="H287:H288"/>
    <mergeCell ref="H289:H291"/>
    <mergeCell ref="H292:H295"/>
    <mergeCell ref="C296:C302"/>
    <mergeCell ref="D296:D302"/>
    <mergeCell ref="C307:C331"/>
    <mergeCell ref="D307:D331"/>
    <mergeCell ref="H208:H213"/>
    <mergeCell ref="B222:B253"/>
    <mergeCell ref="C222:C253"/>
    <mergeCell ref="D222:D241"/>
    <mergeCell ref="D242:D253"/>
    <mergeCell ref="D160:D191"/>
    <mergeCell ref="H166:H169"/>
    <mergeCell ref="H170:H173"/>
    <mergeCell ref="E174:E191"/>
    <mergeCell ref="F179:F191"/>
    <mergeCell ref="G182:G191"/>
    <mergeCell ref="H188:H191"/>
    <mergeCell ref="A123:A253"/>
    <mergeCell ref="B123:B221"/>
    <mergeCell ref="C123:C137"/>
    <mergeCell ref="D123:D137"/>
    <mergeCell ref="C138:C159"/>
    <mergeCell ref="D138:D159"/>
    <mergeCell ref="C160:C191"/>
    <mergeCell ref="C192:C221"/>
    <mergeCell ref="D192:D203"/>
    <mergeCell ref="D204:D221"/>
    <mergeCell ref="C61:C110"/>
    <mergeCell ref="D61:D84"/>
    <mergeCell ref="E69:E110"/>
    <mergeCell ref="H77:H84"/>
    <mergeCell ref="D85:D110"/>
    <mergeCell ref="H87:H94"/>
    <mergeCell ref="G96:G110"/>
    <mergeCell ref="H104:H110"/>
    <mergeCell ref="A8:A122"/>
    <mergeCell ref="B8:B122"/>
    <mergeCell ref="C9:C36"/>
    <mergeCell ref="D21:D36"/>
    <mergeCell ref="H31:H36"/>
    <mergeCell ref="C37:C51"/>
    <mergeCell ref="D37:D51"/>
    <mergeCell ref="C52:C60"/>
    <mergeCell ref="D52:D60"/>
    <mergeCell ref="H57:H60"/>
    <mergeCell ref="C111:C122"/>
    <mergeCell ref="D111:D122"/>
    <mergeCell ref="H118:H122"/>
    <mergeCell ref="U4:U6"/>
    <mergeCell ref="V4:V6"/>
    <mergeCell ref="F5:F6"/>
    <mergeCell ref="G5:G6"/>
    <mergeCell ref="H5:H6"/>
    <mergeCell ref="I5:I6"/>
    <mergeCell ref="J5:K5"/>
    <mergeCell ref="L5:L6"/>
    <mergeCell ref="N5:N6"/>
    <mergeCell ref="O5:O6"/>
    <mergeCell ref="M4:M6"/>
    <mergeCell ref="N4:O4"/>
    <mergeCell ref="P4:Q4"/>
    <mergeCell ref="R4:R6"/>
    <mergeCell ref="S4:S6"/>
    <mergeCell ref="T4:T6"/>
    <mergeCell ref="P5:P6"/>
    <mergeCell ref="Q5:Q6"/>
    <mergeCell ref="A4:A6"/>
    <mergeCell ref="B4:B6"/>
    <mergeCell ref="C4:C6"/>
    <mergeCell ref="D4:D6"/>
    <mergeCell ref="E4:E6"/>
    <mergeCell ref="F4:L4"/>
    <mergeCell ref="F1:L1"/>
    <mergeCell ref="N1:O1"/>
    <mergeCell ref="F2:L2"/>
    <mergeCell ref="N2:O2"/>
    <mergeCell ref="F3:L3"/>
    <mergeCell ref="N3:O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Registru</vt:lpstr>
      <vt:lpstr>Data</vt:lpstr>
      <vt:lpstr>UNGHENI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Rodion</dc:creator>
  <cp:lastModifiedBy>Rodion</cp:lastModifiedBy>
  <dcterms:created xsi:type="dcterms:W3CDTF">2020-05-22T11:34:00Z</dcterms:created>
  <dcterms:modified xsi:type="dcterms:W3CDTF">2020-06-05T10:15:08Z</dcterms:modified>
</cp:coreProperties>
</file>